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tmattson\Documents\Mattson\GenerativeAI\PaperOutput\May2025Revision\"/>
    </mc:Choice>
  </mc:AlternateContent>
  <xr:revisionPtr revIDLastSave="0" documentId="13_ncr:1_{EFE02143-E570-468D-83F8-95EA353ADF26}" xr6:coauthVersionLast="47" xr6:coauthVersionMax="47" xr10:uidLastSave="{00000000-0000-0000-0000-000000000000}"/>
  <bookViews>
    <workbookView xWindow="-110" yWindow="-110" windowWidth="19420" windowHeight="11500" tabRatio="754" xr2:uid="{2DEF6D66-D107-469C-A0BB-3089CD758861}"/>
  </bookViews>
  <sheets>
    <sheet name="INSTRUCTIONS" sheetId="15" r:id="rId1"/>
    <sheet name="INPUTS" sheetId="12" r:id="rId2"/>
    <sheet name="DASHBOARD" sheetId="7" r:id="rId3"/>
    <sheet name="Hide" sheetId="3" state="veryHidden" r:id="rId4"/>
  </sheets>
  <definedNames>
    <definedName name="BOTH1">Hide!$B$34</definedName>
    <definedName name="BOTH2">Hide!#REF!</definedName>
    <definedName name="BOTH3">Hide!$B$35</definedName>
    <definedName name="BOTH4">Hide!$B$36</definedName>
    <definedName name="BOTH5">Hide!$B$37</definedName>
    <definedName name="CIQWBGuid" hidden="1">"Copy of 745743_org_read_assessment.xlsm"</definedName>
    <definedName name="DISP1">Hide!$C$34</definedName>
    <definedName name="DISP10">Hide!$C$43</definedName>
    <definedName name="DISP11">Hide!$C$46</definedName>
    <definedName name="DISP12">Hide!$C$47</definedName>
    <definedName name="DISP13">Hide!$C$48</definedName>
    <definedName name="DISP14">Hide!$C$49</definedName>
    <definedName name="DISP15">Hide!$C$50</definedName>
    <definedName name="DISP2">Hide!#REF!</definedName>
    <definedName name="DISP3">Hide!$C$35</definedName>
    <definedName name="DISP4">Hide!$C$36</definedName>
    <definedName name="DISP5">Hide!$C$37</definedName>
    <definedName name="DISP6">Hide!$C$40</definedName>
    <definedName name="DISP7">Hide!$C$41</definedName>
    <definedName name="DISP8">Hide!$C$42</definedName>
    <definedName name="DISP9">Hide!#REF!</definedName>
    <definedName name="GENAI1">Hide!$B$40</definedName>
    <definedName name="GENAI2">Hide!$B$41</definedName>
    <definedName name="GENAI3">Hide!$B$42</definedName>
    <definedName name="GENAI4">Hide!#REF!</definedName>
    <definedName name="GENAI5">Hide!$B$43</definedName>
    <definedName name="GENSCORE">Hide!$B$53</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44070.2346527778</definedName>
    <definedName name="IQ_QTD" hidden="1">750000</definedName>
    <definedName name="IQ_TODAY" hidden="1">0</definedName>
    <definedName name="IQ_YTDMONTH" hidden="1">130000</definedName>
    <definedName name="SHOWSTOP1">Hide!$B$59</definedName>
    <definedName name="SHOWSTOP2">Hide!$B$60</definedName>
    <definedName name="SHOWSTOP3">Hide!$B$61</definedName>
    <definedName name="SHOWSTOP4">Hide!$B$62</definedName>
    <definedName name="SHOWSTOP5">Hide!$B$63</definedName>
    <definedName name="SHOWSTOP6">Hide!$B$64</definedName>
    <definedName name="SPEC1">Hide!$B$46</definedName>
    <definedName name="SPEC2">Hide!$B$47</definedName>
    <definedName name="SPEC3">Hide!$B$48</definedName>
    <definedName name="SPEC4">Hide!$B$49</definedName>
    <definedName name="SPEC5">Hide!$B$50</definedName>
    <definedName name="SPECSCORE">Hide!$B$54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 i="3" l="1"/>
  <c r="C24" i="3"/>
  <c r="D24" i="3"/>
  <c r="B25" i="3"/>
  <c r="C25" i="3"/>
  <c r="D25" i="3"/>
  <c r="B26" i="3"/>
  <c r="C26" i="3"/>
  <c r="D26" i="3"/>
  <c r="B27" i="3"/>
  <c r="C27" i="3"/>
  <c r="D27" i="3"/>
  <c r="B28" i="3"/>
  <c r="C28" i="3"/>
  <c r="D28" i="3"/>
  <c r="B29" i="3"/>
  <c r="C29" i="3"/>
  <c r="D29" i="3"/>
  <c r="B30" i="3"/>
  <c r="C30" i="3"/>
  <c r="D30" i="3"/>
  <c r="B23" i="3"/>
  <c r="C23" i="3"/>
  <c r="D23" i="3"/>
  <c r="A23" i="3"/>
  <c r="A24" i="3"/>
  <c r="A25" i="3"/>
  <c r="A26" i="3"/>
  <c r="A27" i="3"/>
  <c r="A28" i="3"/>
  <c r="A29" i="3"/>
  <c r="A30" i="3"/>
  <c r="A22" i="3"/>
  <c r="D16" i="3"/>
  <c r="D17" i="3"/>
  <c r="D18" i="3"/>
  <c r="D19" i="3"/>
  <c r="D20" i="3"/>
  <c r="D15" i="3"/>
  <c r="C16" i="3"/>
  <c r="C17" i="3"/>
  <c r="C18" i="3"/>
  <c r="C19" i="3"/>
  <c r="C20" i="3"/>
  <c r="C15" i="3"/>
  <c r="B16" i="3"/>
  <c r="B17" i="3"/>
  <c r="B18" i="3"/>
  <c r="B19" i="3"/>
  <c r="B20" i="3"/>
  <c r="B15" i="3"/>
  <c r="A15" i="3"/>
  <c r="A16" i="3"/>
  <c r="A17" i="3"/>
  <c r="A18" i="3"/>
  <c r="A19" i="3"/>
  <c r="A20" i="3"/>
  <c r="A14" i="3"/>
  <c r="A60" i="3"/>
  <c r="B60" i="3"/>
  <c r="E60" i="3" s="1"/>
  <c r="A61" i="3"/>
  <c r="B61" i="3"/>
  <c r="E61" i="3" s="1"/>
  <c r="A62" i="3"/>
  <c r="B62" i="3"/>
  <c r="C69" i="3" s="1"/>
  <c r="A63" i="3"/>
  <c r="B63" i="3"/>
  <c r="E63" i="3" s="1"/>
  <c r="A64" i="3"/>
  <c r="B64" i="3"/>
  <c r="E64" i="3" s="1"/>
  <c r="B59" i="3"/>
  <c r="E59" i="3" s="1"/>
  <c r="A59" i="3"/>
  <c r="C71" i="3" l="1"/>
  <c r="C70" i="3"/>
  <c r="E62" i="3"/>
  <c r="C68" i="3"/>
  <c r="C67" i="3"/>
  <c r="C66" i="3"/>
  <c r="A8" i="3"/>
  <c r="B8" i="3"/>
  <c r="C8" i="3"/>
  <c r="D8" i="3"/>
  <c r="E8" i="3" s="1"/>
  <c r="A9" i="3"/>
  <c r="B9" i="3"/>
  <c r="C9" i="3"/>
  <c r="D9" i="3"/>
  <c r="E9" i="3" s="1"/>
  <c r="A10" i="3"/>
  <c r="B10" i="3"/>
  <c r="C10" i="3"/>
  <c r="D10" i="3"/>
  <c r="E10" i="3" s="1"/>
  <c r="A11" i="3"/>
  <c r="B11" i="3"/>
  <c r="C11" i="3"/>
  <c r="D11" i="3"/>
  <c r="E11" i="3" s="1"/>
  <c r="A12" i="3"/>
  <c r="B12" i="3"/>
  <c r="C12" i="3"/>
  <c r="D12" i="3"/>
  <c r="E12" i="3" s="1"/>
  <c r="E15" i="3"/>
  <c r="E16" i="3"/>
  <c r="E17" i="3"/>
  <c r="E19" i="3"/>
  <c r="E20" i="3"/>
  <c r="E23" i="3"/>
  <c r="E24" i="3"/>
  <c r="E25" i="3"/>
  <c r="E26" i="3"/>
  <c r="E27" i="3"/>
  <c r="E28" i="3"/>
  <c r="E29" i="3"/>
  <c r="E30" i="3"/>
  <c r="A7" i="3"/>
  <c r="F12" i="3" l="1"/>
  <c r="F11" i="7" s="1"/>
  <c r="F8" i="3"/>
  <c r="H15" i="7" s="1"/>
  <c r="G19" i="7"/>
  <c r="G20" i="7"/>
  <c r="F19" i="7"/>
  <c r="G22" i="7"/>
  <c r="G11" i="7"/>
  <c r="F10" i="7"/>
  <c r="C73" i="3"/>
  <c r="E18" i="3"/>
  <c r="F18" i="3" s="1"/>
  <c r="F13" i="7" s="1"/>
  <c r="F16" i="3"/>
  <c r="B40" i="3" s="1"/>
  <c r="C40" i="3" s="1"/>
  <c r="F30" i="3"/>
  <c r="F26" i="3"/>
  <c r="H22" i="7" s="1"/>
  <c r="F28" i="3"/>
  <c r="F11" i="3"/>
  <c r="F9" i="3"/>
  <c r="B35" i="3" s="1"/>
  <c r="C35" i="3" s="1"/>
  <c r="F27" i="3"/>
  <c r="F24" i="7" s="1"/>
  <c r="F10" i="3"/>
  <c r="H16" i="7" s="1"/>
  <c r="F24" i="3"/>
  <c r="F17" i="3"/>
  <c r="F20" i="3"/>
  <c r="F29" i="3"/>
  <c r="F25" i="3"/>
  <c r="F23" i="3"/>
  <c r="H21" i="7" s="1"/>
  <c r="F15" i="3"/>
  <c r="F19" i="3"/>
  <c r="G13" i="7" s="1"/>
  <c r="F21" i="7" l="1"/>
  <c r="H23" i="7"/>
  <c r="F12" i="7"/>
  <c r="F16" i="7"/>
  <c r="H12" i="7"/>
  <c r="F25" i="7"/>
  <c r="G12" i="7"/>
  <c r="G10" i="7"/>
  <c r="G25" i="7"/>
  <c r="G16" i="7"/>
  <c r="G14" i="7"/>
  <c r="B34" i="3"/>
  <c r="C34" i="3" s="1"/>
  <c r="F20" i="7"/>
  <c r="B50" i="3"/>
  <c r="C50" i="3" s="1"/>
  <c r="H11" i="7"/>
  <c r="F15" i="7"/>
  <c r="G15" i="7"/>
  <c r="G24" i="7"/>
  <c r="B36" i="3"/>
  <c r="C36" i="3" s="1"/>
  <c r="H20" i="7"/>
  <c r="H10" i="7"/>
  <c r="H25" i="7"/>
  <c r="H14" i="7"/>
  <c r="H24" i="7"/>
  <c r="F14" i="7"/>
  <c r="F23" i="7"/>
  <c r="H13" i="7"/>
  <c r="B42" i="3"/>
  <c r="C42" i="3" s="1"/>
  <c r="F22" i="7"/>
  <c r="B48" i="3"/>
  <c r="C48" i="3" s="1"/>
  <c r="H19" i="7"/>
  <c r="B46" i="3"/>
  <c r="C46" i="3" s="1"/>
  <c r="G23" i="7"/>
  <c r="B49" i="3"/>
  <c r="C49" i="3" s="1"/>
  <c r="G21" i="7"/>
  <c r="B47" i="3"/>
  <c r="C47" i="3" s="1"/>
  <c r="B41" i="3"/>
  <c r="C41" i="3" s="1"/>
  <c r="B37" i="3"/>
  <c r="C37" i="3" s="1"/>
  <c r="B43" i="3"/>
  <c r="C43" i="3" s="1"/>
  <c r="F26" i="7" l="1"/>
  <c r="G17" i="7"/>
  <c r="F17" i="7"/>
  <c r="H26" i="7"/>
  <c r="H17" i="7"/>
  <c r="G26" i="7"/>
  <c r="B53" i="3"/>
  <c r="C53" i="3" s="1"/>
  <c r="B54" i="3"/>
  <c r="C54" i="3" s="1"/>
</calcChain>
</file>

<file path=xl/sharedStrings.xml><?xml version="1.0" encoding="utf-8"?>
<sst xmlns="http://schemas.openxmlformats.org/spreadsheetml/2006/main" count="159" uniqueCount="88">
  <si>
    <t>Generalized GenAI</t>
  </si>
  <si>
    <t>Critical</t>
  </si>
  <si>
    <t>Important</t>
  </si>
  <si>
    <t>Specialized GenAI</t>
  </si>
  <si>
    <t>Degree of formalized GenAI governance across the non-profit</t>
  </si>
  <si>
    <t>Degree of GenAI literacy of non-profit's staff</t>
  </si>
  <si>
    <t>Process</t>
  </si>
  <si>
    <t>Culture</t>
  </si>
  <si>
    <t>Trust</t>
  </si>
  <si>
    <t>Agency</t>
  </si>
  <si>
    <t>Legal</t>
  </si>
  <si>
    <t>Knowledge</t>
  </si>
  <si>
    <t>People</t>
  </si>
  <si>
    <t>Financial</t>
  </si>
  <si>
    <t>Manageable</t>
  </si>
  <si>
    <t>Weight</t>
  </si>
  <si>
    <t>Generalized GenAI Score</t>
  </si>
  <si>
    <t>Specialized GenAI Score</t>
  </si>
  <si>
    <t>Totals</t>
  </si>
  <si>
    <t>Importance</t>
  </si>
  <si>
    <t>No</t>
  </si>
  <si>
    <t>Generalized GenAI Applications</t>
  </si>
  <si>
    <t>Specialized GenAI Applications</t>
  </si>
  <si>
    <t>Yes</t>
  </si>
  <si>
    <t>Show stoppers</t>
  </si>
  <si>
    <t>Regulatory</t>
  </si>
  <si>
    <t>Probability-Based Decision Making</t>
  </si>
  <si>
    <t>Question</t>
  </si>
  <si>
    <t>Reputational Risk</t>
  </si>
  <si>
    <r>
      <rPr>
        <b/>
        <sz val="11"/>
        <color theme="1"/>
        <rFont val="Aptos Narrow"/>
        <family val="2"/>
        <scheme val="minor"/>
      </rPr>
      <t xml:space="preserve">Readiness </t>
    </r>
    <r>
      <rPr>
        <sz val="11"/>
        <color theme="1"/>
        <rFont val="Aptos Narrow"/>
        <family val="2"/>
        <scheme val="minor"/>
      </rPr>
      <t xml:space="preserve">
1-Not Ready, 
2-Loosely Defined, 
3-Defined &amp; Unmanaged, 
4-Defined &amp; Managed, 
5-Ready</t>
    </r>
  </si>
  <si>
    <t>Categories</t>
  </si>
  <si>
    <t>Non-Profit GenAI Readiness (NPGAR)</t>
  </si>
  <si>
    <t>Response
Yes or No</t>
  </si>
  <si>
    <t>Degree that the non-profit trusts underlying GenAI applications</t>
  </si>
  <si>
    <t>Degree that the non-profit is comfortable giving up agency for a single task or set of tasks in part or in full to a generalized GenAI application</t>
  </si>
  <si>
    <t>Degree that the non-profit is comfortable with the potential negative consequences of a generalized GenAI application owner being sued</t>
  </si>
  <si>
    <r>
      <rPr>
        <b/>
        <sz val="11"/>
        <color theme="1"/>
        <rFont val="Aptos Narrow"/>
        <family val="2"/>
        <scheme val="minor"/>
      </rPr>
      <t>Importance</t>
    </r>
    <r>
      <rPr>
        <sz val="11"/>
        <color theme="1"/>
        <rFont val="Aptos Narrow"/>
        <family val="2"/>
        <scheme val="minor"/>
      </rPr>
      <t xml:space="preserve">
Manageable,
Important,
Critical</t>
    </r>
  </si>
  <si>
    <t>Degree that the non-profit is prepared to dispel the overhead myth with GenAI application investments</t>
  </si>
  <si>
    <t>Degree of understanding of the security &amp; privacy issues associated with using generalized GenAI applications at the non-profit</t>
  </si>
  <si>
    <t>Degree that the non-profit has defined generalized GenAI ethical &amp; appropriate use doctrines and which applications are acceptable</t>
  </si>
  <si>
    <t>Degree that the non-profit has the funds allocated for short-term and long-term specialized GenAI development and maintenance</t>
  </si>
  <si>
    <t>Degree that the non-profit's partners associated with supporting specialized GenAI systems are stable and trustworthy</t>
  </si>
  <si>
    <t>Degree that the non-profit is prepared to give up agency over a single or set of tasks in part or in full due to specialized GenAI application</t>
  </si>
  <si>
    <t>Degree that the non-profit understands transparency, fairness, and equitable issues of the specialized GenAI application</t>
  </si>
  <si>
    <t>Degree that the non-profit is prepared to destroy the specialized GenAI application if it is deemed to have used copyrighted, stolen, or unethically obtained data</t>
  </si>
  <si>
    <t>Degree that the non-profit's staff has the knowledge, skills, and abilities to develop and maintain specialized GenAI applications</t>
  </si>
  <si>
    <t>Degree that the non-profit has the executive sponsorship to support the development of specialized GenAI applications</t>
  </si>
  <si>
    <t>Degree that the non-profit is committed to change its services and work processes using GenAI applications</t>
  </si>
  <si>
    <t>Is the non-profit comfortable with the ethical considerations associated with GenAI technologies?</t>
  </si>
  <si>
    <t>Degree that the non-profit understands the regulatory issues associated with generalized GenAI use</t>
  </si>
  <si>
    <t>Is the non-profit comfortable with the potential reputational harm for using GenAI such that it would hinder their ability to achieve their social or societal mission?</t>
  </si>
  <si>
    <t>Ethical Considerations</t>
  </si>
  <si>
    <t>Is the non-profit comfortable with probabilistic decision making and associated technologies that might hallucinate?</t>
  </si>
  <si>
    <r>
      <t xml:space="preserve">Items for GenAI Technologies
</t>
    </r>
    <r>
      <rPr>
        <i/>
        <sz val="11"/>
        <rFont val="Aptos Narrow"/>
        <family val="2"/>
        <scheme val="minor"/>
      </rPr>
      <t>GenAI technologies are the collection of algorithms, models, and methods to efficiently construct pre-trained transformers and large language models.</t>
    </r>
  </si>
  <si>
    <r>
      <rPr>
        <b/>
        <sz val="11"/>
        <color theme="1"/>
        <rFont val="Aptos Narrow"/>
        <family val="2"/>
        <scheme val="minor"/>
      </rPr>
      <t>GenAI Applications (Generalized &amp; Specialized)</t>
    </r>
    <r>
      <rPr>
        <sz val="11"/>
        <color theme="1"/>
        <rFont val="Aptos Narrow"/>
        <family val="2"/>
        <scheme val="minor"/>
      </rPr>
      <t xml:space="preserve">
</t>
    </r>
    <r>
      <rPr>
        <i/>
        <sz val="11"/>
        <color theme="1"/>
        <rFont val="Aptos Narrow"/>
        <family val="2"/>
        <scheme val="minor"/>
      </rPr>
      <t>Generate new content based on text or non-text prompts</t>
    </r>
  </si>
  <si>
    <r>
      <rPr>
        <b/>
        <sz val="11"/>
        <color theme="1"/>
        <rFont val="Aptos Narrow"/>
        <family val="2"/>
        <scheme val="minor"/>
      </rPr>
      <t xml:space="preserve">Generalized GenAI Applications
</t>
    </r>
    <r>
      <rPr>
        <i/>
        <sz val="11"/>
        <color theme="1"/>
        <rFont val="Aptos Narrow"/>
        <family val="2"/>
        <scheme val="minor"/>
      </rPr>
      <t>These are a “jack of all trades but a master of none” designed to cover a wide range of prompts across many topic areas. Exanples include Gemini, ChatGPT, and Claude.</t>
    </r>
  </si>
  <si>
    <r>
      <rPr>
        <b/>
        <sz val="11"/>
        <color theme="1"/>
        <rFont val="Aptos Narrow"/>
        <family val="2"/>
        <scheme val="minor"/>
      </rPr>
      <t>Specialized GenAI Applications</t>
    </r>
    <r>
      <rPr>
        <sz val="11"/>
        <color theme="1"/>
        <rFont val="Aptos Narrow"/>
        <family val="2"/>
        <scheme val="minor"/>
      </rPr>
      <t xml:space="preserve">
</t>
    </r>
    <r>
      <rPr>
        <i/>
        <sz val="11"/>
        <color theme="1"/>
        <rFont val="Aptos Narrow"/>
        <family val="2"/>
        <scheme val="minor"/>
      </rPr>
      <t xml:space="preserve">These applications have limited scope but have the potential to deliver high quality solutions in their targeted niche. </t>
    </r>
  </si>
  <si>
    <t>Is a key non-profit stakeholder such as a major donor or grant funding organization pressuring the non-profit to use GenAI?</t>
  </si>
  <si>
    <r>
      <t xml:space="preserve">Is a key non-profit stakeholder such as a major donor or grant funding organization pressuring the non-profit to </t>
    </r>
    <r>
      <rPr>
        <b/>
        <i/>
        <u/>
        <sz val="11"/>
        <color theme="1"/>
        <rFont val="Aptos Narrow"/>
        <family val="2"/>
        <scheme val="minor"/>
      </rPr>
      <t>not</t>
    </r>
    <r>
      <rPr>
        <sz val="11"/>
        <color theme="1"/>
        <rFont val="Aptos Narrow"/>
        <family val="2"/>
        <scheme val="minor"/>
      </rPr>
      <t xml:space="preserve"> use GenAI?</t>
    </r>
  </si>
  <si>
    <t>Not Adopting Stakeholder Pressure</t>
  </si>
  <si>
    <t>Adopting Stakeholder Pressure</t>
  </si>
  <si>
    <t>Is the non-profit comfortable with the regulatory uncertainties surrounding GenAI technologies?</t>
  </si>
  <si>
    <t>Degree that the non-profit has legal support to protect its data and intellectual property due to generalized GenAI prompts</t>
  </si>
  <si>
    <t>Degree that the non-profit understands and has the capabilities to manage internal and external data issues (e.g., compensating data sources, quality, access, security, privacy, &amp; cross-jurisdictional)</t>
  </si>
  <si>
    <t>Tool Overview:</t>
  </si>
  <si>
    <t>Excel File Instructions:</t>
  </si>
  <si>
    <t>Technology Context:</t>
  </si>
  <si>
    <t>Our tool is designed specifically for GenAI technologies and applications.</t>
  </si>
  <si>
    <t>Non-Profit Context:</t>
  </si>
  <si>
    <t>Our tool is designed for non-profits that have a social or societal mission instead of a financial (profit) driven mission.</t>
  </si>
  <si>
    <t>Our tool is designed for non-government non-profits. Although many government agencies are non-profit in nature, they have different constraints and issues that are not explicitly included in our tool.</t>
  </si>
  <si>
    <t>Sector:</t>
  </si>
  <si>
    <t xml:space="preserve">We purposefully designed our tool to be non-profit mission agnostic. There are no items related to any specific social or societal cause. </t>
  </si>
  <si>
    <t>Mission:</t>
  </si>
  <si>
    <t>Non-profits have many different operating models (e.g., Beneficiary-Oriented Service Model, Member-based model, or Foundation model) that define how they create value, are funded, and sustain their operations. The use of our tool is not limited to any one specific non-profit operating model.</t>
  </si>
  <si>
    <t>Non-profits clearly range in organizational complexity, structure, and size. Our tool will be most helpful for non-profits that face the people, process, and technology issues associated with GenAI implementations. With that said, small non-profits may still benefit from discussing certain questions on our tool even if all of them are not applicable.</t>
  </si>
  <si>
    <t>Tool Users:</t>
  </si>
  <si>
    <t>The users of our tool are non-profit employees who are involved in the GenAI decision making process. These employees could (and probably should) be at multiple levels – staff, management, or executive – because staff at different levels have different knowledge and experiences with GenAI. Each non-profit using the tool must decide who is involved in their GenAI decision making process, which will determine if our tool is used by executives, managers, or staff.</t>
  </si>
  <si>
    <t>The ideal use will be during the pre-adoption phase where the non-profit is determining whether to adopt and/or determining their overall GenAI strategy.</t>
  </si>
  <si>
    <t>Software Lifecycle Phase of Usage:</t>
  </si>
  <si>
    <t>A non-profit’s readiness for GenAI may change over time. Therefore, we recommend that they use our tool to assess their readiness regularly (say quarterly or semi-annually) as their organizations and GenAI change.</t>
  </si>
  <si>
    <t>Frequency of Use:</t>
  </si>
  <si>
    <t>Non-Profit Organizational Constraints:</t>
  </si>
  <si>
    <t>Suggested Use Process:</t>
  </si>
  <si>
    <t>1) Enable all warning messages and macros when opening the workbook.
2) Answer the questions on the INPUTS worksheet. Only modify the cells in light gray.
3) Select the DASHBOARD worksheet to view the readiness results. Each time you click on the DASHBOARD worksheet, the dashboard gets refreshed.</t>
  </si>
  <si>
    <t>Our tool is designed to assess a non-profit's readiness for GenAI technologies and applications. This tool accounts for the uniqueness of both GenAI and non-profit organizations.</t>
  </si>
  <si>
    <t>Non-Profit Operating Models:</t>
  </si>
  <si>
    <t xml:space="preserve">Step 1: Decide who should be involved in the GenAI readiness assessment process. We recommend that this process include staff at all levels with different responsibilities (e.g., operational, tactical, and strategic).
Step 2: Have all individuals involved in the GenAI readiness assessment process answer the questions in this Excel file independently.
Step 3: Have each assessor send their results to a coordinator or the person in charge of the GenAI assessment process at the non-profit.
Step 4: The coordinator should then organize a meeting to debate and discuss the results from each assessor.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</si>
</sst>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
  </numFmts>
  <fonts count="13">
    <font>
      <sz val="11"/>
      <color theme="1"/>
      <name val="Aptos Narrow"/>
      <family val="2"/>
      <scheme val="minor"/>
    </font>
    <font>
      <b/>
      <sz val="11"/>
      <color theme="1"/>
      <name val="Aptos Narrow"/>
      <family val="2"/>
      <scheme val="minor"/>
    </font>
    <font>
      <b/>
      <sz val="11"/>
      <name val="Aptos Narrow"/>
      <family val="2"/>
      <scheme val="minor"/>
    </font>
    <font>
      <b/>
      <sz val="16"/>
      <color theme="0"/>
      <name val="Arial"/>
      <family val="2"/>
    </font>
    <font>
      <sz val="11"/>
      <color theme="1"/>
      <name val="Arial"/>
      <family val="2"/>
    </font>
    <font>
      <sz val="8"/>
      <color rgb="FF000000"/>
      <name val="Segoe UI"/>
      <family val="2"/>
    </font>
    <font>
      <sz val="10"/>
      <color theme="1"/>
      <name val="Ariel"/>
    </font>
    <font>
      <sz val="10"/>
      <name val="Ariel"/>
    </font>
    <font>
      <b/>
      <sz val="10"/>
      <name val="Ariel"/>
    </font>
    <font>
      <b/>
      <sz val="16"/>
      <color theme="1"/>
      <name val="Arial"/>
      <family val="2"/>
    </font>
    <font>
      <i/>
      <sz val="11"/>
      <name val="Aptos Narrow"/>
      <family val="2"/>
      <scheme val="minor"/>
    </font>
    <font>
      <i/>
      <sz val="11"/>
      <color theme="1"/>
      <name val="Aptos Narrow"/>
      <family val="2"/>
      <scheme val="minor"/>
    </font>
    <font>
      <b/>
      <i/>
      <u/>
      <sz val="11"/>
      <color theme="1"/>
      <name val="Aptos Narrow"/>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rgb="FF002060"/>
        <bgColor indexed="64"/>
      </patternFill>
    </fill>
    <fill>
      <patternFill patternType="solid">
        <fgColor theme="0"/>
        <bgColor indexed="64"/>
      </patternFill>
    </fill>
    <fill>
      <patternFill patternType="solid">
        <fgColor rgb="FFDE0A01"/>
        <bgColor indexed="64"/>
      </patternFill>
    </fill>
    <fill>
      <patternFill patternType="solid">
        <fgColor rgb="FFF5AB23"/>
        <bgColor indexed="64"/>
      </patternFill>
    </fill>
    <fill>
      <patternFill patternType="solid">
        <fgColor rgb="FF00A76D"/>
        <bgColor indexed="64"/>
      </patternFill>
    </fill>
    <fill>
      <patternFill patternType="solid">
        <fgColor them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2">
    <xf numFmtId="0" fontId="0" fillId="0" borderId="0" xfId="0"/>
    <xf numFmtId="0" fontId="0" fillId="0" borderId="0" xfId="0" applyAlignment="1">
      <alignment horizontal="center" vertical="center"/>
    </xf>
    <xf numFmtId="0" fontId="4" fillId="4" borderId="0" xfId="0" applyFont="1" applyFill="1"/>
    <xf numFmtId="0" fontId="0" fillId="0" borderId="1" xfId="0" applyBorder="1" applyAlignment="1">
      <alignment horizontal="center" vertical="center"/>
    </xf>
    <xf numFmtId="0" fontId="6" fillId="0" borderId="0" xfId="0" applyFont="1"/>
    <xf numFmtId="0" fontId="7" fillId="4" borderId="0" xfId="0" applyFont="1" applyFill="1" applyAlignment="1">
      <alignment vertical="center"/>
    </xf>
    <xf numFmtId="164" fontId="7" fillId="4" borderId="0" xfId="0" applyNumberFormat="1" applyFont="1" applyFill="1" applyAlignment="1" applyProtection="1">
      <alignment horizontal="right"/>
      <protection locked="0"/>
    </xf>
    <xf numFmtId="165" fontId="7" fillId="4" borderId="0" xfId="0" applyNumberFormat="1" applyFont="1" applyFill="1"/>
    <xf numFmtId="164" fontId="6" fillId="4" borderId="0" xfId="0" applyNumberFormat="1" applyFont="1" applyFill="1"/>
    <xf numFmtId="0" fontId="7" fillId="4" borderId="0" xfId="0" applyFont="1" applyFill="1"/>
    <xf numFmtId="0" fontId="7" fillId="5" borderId="0" xfId="0" applyFont="1" applyFill="1"/>
    <xf numFmtId="0" fontId="7" fillId="6" borderId="0" xfId="0" applyFont="1" applyFill="1"/>
    <xf numFmtId="0" fontId="7" fillId="7" borderId="0" xfId="0" applyFont="1" applyFill="1"/>
    <xf numFmtId="0" fontId="7" fillId="4" borderId="0" xfId="0" applyFont="1" applyFill="1" applyAlignment="1">
      <alignment horizontal="right" vertical="center"/>
    </xf>
    <xf numFmtId="166" fontId="6" fillId="0" borderId="0" xfId="0" applyNumberFormat="1" applyFont="1"/>
    <xf numFmtId="0" fontId="7" fillId="0" borderId="0" xfId="0" applyFont="1" applyAlignment="1">
      <alignment vertical="center"/>
    </xf>
    <xf numFmtId="0" fontId="7" fillId="0" borderId="1" xfId="0" applyFont="1" applyBorder="1" applyAlignment="1">
      <alignment horizontal="right" vertical="center"/>
    </xf>
    <xf numFmtId="0" fontId="6" fillId="0" borderId="1" xfId="0" applyFont="1" applyBorder="1" applyAlignment="1">
      <alignment horizontal="right"/>
    </xf>
    <xf numFmtId="0" fontId="8" fillId="0" borderId="1" xfId="0" applyFont="1" applyBorder="1" applyAlignment="1">
      <alignment horizontal="right" vertical="center"/>
    </xf>
    <xf numFmtId="0" fontId="9" fillId="0" borderId="0" xfId="0" applyFont="1" applyAlignment="1">
      <alignment horizontal="center" vertical="center"/>
    </xf>
    <xf numFmtId="0" fontId="0" fillId="8" borderId="1" xfId="0" applyFill="1" applyBorder="1" applyAlignment="1" applyProtection="1">
      <alignment horizontal="center" vertical="center"/>
      <protection locked="0"/>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12" fillId="0" borderId="1" xfId="0" applyFont="1" applyBorder="1" applyAlignment="1">
      <alignment vertical="center"/>
    </xf>
    <xf numFmtId="0" fontId="12" fillId="0" borderId="1" xfId="0" applyFont="1" applyBorder="1" applyAlignment="1">
      <alignment vertical="center" wrapText="1"/>
    </xf>
    <xf numFmtId="0" fontId="3" fillId="3" borderId="0" xfId="0" applyFont="1" applyFill="1" applyAlignment="1">
      <alignment horizontal="center" vertical="center"/>
    </xf>
    <xf numFmtId="0" fontId="0" fillId="0" borderId="0" xfId="0"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2" fillId="2" borderId="2"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0" fillId="0" borderId="0" xfId="0" applyProtection="1"/>
    <xf numFmtId="0" fontId="2" fillId="0" borderId="1" xfId="0" applyFont="1" applyBorder="1" applyAlignment="1" applyProtection="1">
      <alignment horizontal="center" vertical="center" wrapText="1"/>
    </xf>
    <xf numFmtId="0" fontId="0" fillId="0" borderId="1" xfId="0" applyBorder="1" applyAlignment="1" applyProtection="1">
      <alignment vertical="center" wrapText="1"/>
    </xf>
    <xf numFmtId="0" fontId="0" fillId="0" borderId="1" xfId="0" applyBorder="1" applyAlignment="1" applyProtection="1">
      <alignment wrapText="1"/>
    </xf>
    <xf numFmtId="0" fontId="1" fillId="0" borderId="1" xfId="0" applyFont="1" applyBorder="1" applyAlignment="1" applyProtection="1">
      <alignment horizontal="center" vertical="center" wrapText="1"/>
    </xf>
    <xf numFmtId="0" fontId="0" fillId="0" borderId="1" xfId="0" applyBorder="1" applyAlignment="1" applyProtection="1">
      <alignment horizontal="center" vertical="center" wrapText="1"/>
    </xf>
    <xf numFmtId="0" fontId="0" fillId="2" borderId="1" xfId="0" applyFill="1" applyBorder="1" applyAlignment="1" applyProtection="1">
      <alignment wrapText="1"/>
    </xf>
    <xf numFmtId="0" fontId="0" fillId="2" borderId="1" xfId="0" applyFill="1" applyBorder="1" applyProtection="1"/>
    <xf numFmtId="0" fontId="0" fillId="0" borderId="1" xfId="0" applyBorder="1" applyAlignment="1" applyProtection="1">
      <alignment horizontal="righ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xdr:twoCellAnchor>
    <xdr:from>
      <xdr:col>1</xdr:col>
      <xdr:colOff>38100</xdr:colOff>
      <xdr:row>5</xdr:row>
      <xdr:rowOff>107950</xdr:rowOff>
    </xdr:from>
    <xdr:to>
      <xdr:col>1</xdr:col>
      <xdr:colOff>876300</xdr:colOff>
      <xdr:row>6</xdr:row>
      <xdr:rowOff>107949</xdr:rowOff>
    </xdr:to>
    <xdr:sp macro="" textlink="">
      <xdr:nvSpPr>
        <xdr:cNvPr id="3" name="TextBox 1">
          <a:extLst>
            <a:ext uri="{FF2B5EF4-FFF2-40B4-BE49-F238E27FC236}">
              <a16:creationId xmlns:a16="http://schemas.microsoft.com/office/drawing/2014/main" id="{00000000-0008-0000-0300-000003000000}"/>
            </a:ext>
          </a:extLst>
        </xdr:cNvPr>
        <xdr:cNvSpPr txBox="1"/>
      </xdr:nvSpPr>
      <xdr:spPr>
        <a:xfrm>
          <a:off x="165100" y="361950"/>
          <a:ext cx="838200" cy="1841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rIns="0" rtlCol="0" anchor="t">
          <a:noAutofit/>
        </a:bodyPr>
        <a:lstStyle/>
        <a:p>
          <a:pPr algn="l"/>
          <a:r>
            <a:rPr lang="en-US" sz="800" b="1">
              <a:solidFill>
                <a:srgbClr val="DE0A01"/>
              </a:solidFill>
              <a:latin typeface="Arial" panose="020B0604020202020204" pitchFamily="34" charset="0"/>
              <a:cs typeface="Arial" panose="020B0604020202020204" pitchFamily="34" charset="0"/>
            </a:rPr>
            <a:t>Not</a:t>
          </a:r>
          <a:r>
            <a:rPr lang="en-US" sz="800" b="1" baseline="0">
              <a:solidFill>
                <a:srgbClr val="DE0A01"/>
              </a:solidFill>
              <a:latin typeface="Arial" panose="020B0604020202020204" pitchFamily="34" charset="0"/>
              <a:cs typeface="Arial" panose="020B0604020202020204" pitchFamily="34" charset="0"/>
            </a:rPr>
            <a:t> Ready</a:t>
          </a:r>
          <a:endParaRPr lang="en-US" sz="800" b="1">
            <a:solidFill>
              <a:srgbClr val="DE0A01"/>
            </a:solidFill>
            <a:latin typeface="Arial" panose="020B0604020202020204" pitchFamily="34" charset="0"/>
            <a:cs typeface="Arial" panose="020B0604020202020204" pitchFamily="34" charset="0"/>
          </a:endParaRPr>
        </a:p>
      </xdr:txBody>
    </xdr:sp>
    <xdr:clientData/>
  </xdr:twoCellAnchor>
  <xdr:twoCellAnchor>
    <xdr:from>
      <xdr:col>1</xdr:col>
      <xdr:colOff>7042151</xdr:colOff>
      <xdr:row>5</xdr:row>
      <xdr:rowOff>127239</xdr:rowOff>
    </xdr:from>
    <xdr:to>
      <xdr:col>1</xdr:col>
      <xdr:colOff>7734519</xdr:colOff>
      <xdr:row>6</xdr:row>
      <xdr:rowOff>146051</xdr:rowOff>
    </xdr:to>
    <xdr:sp macro="" textlink="">
      <xdr:nvSpPr>
        <xdr:cNvPr id="5" name="TextBox 2">
          <a:extLst>
            <a:ext uri="{FF2B5EF4-FFF2-40B4-BE49-F238E27FC236}">
              <a16:creationId xmlns:a16="http://schemas.microsoft.com/office/drawing/2014/main" id="{00000000-0008-0000-0300-000005000000}"/>
            </a:ext>
          </a:extLst>
        </xdr:cNvPr>
        <xdr:cNvSpPr txBox="1"/>
      </xdr:nvSpPr>
      <xdr:spPr>
        <a:xfrm>
          <a:off x="7169151" y="381239"/>
          <a:ext cx="692368" cy="202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rIns="0" rtlCol="0" anchor="t">
          <a:noAutofit/>
        </a:bodyPr>
        <a:lstStyle/>
        <a:p>
          <a:pPr algn="r"/>
          <a:r>
            <a:rPr lang="en-US" sz="800" b="1">
              <a:solidFill>
                <a:srgbClr val="00A76D"/>
              </a:solidFill>
              <a:latin typeface="Arial" panose="020B0604020202020204" pitchFamily="34" charset="0"/>
              <a:cs typeface="Arial" panose="020B0604020202020204" pitchFamily="34" charset="0"/>
            </a:rPr>
            <a:t>Ready</a:t>
          </a:r>
        </a:p>
      </xdr:txBody>
    </xdr:sp>
    <xdr:clientData/>
  </xdr:twoCellAnchor>
  <mc:AlternateContent xmlns:mc="http://schemas.openxmlformats.org/markup-compatibility/2006">
    <mc:Choice xmlns:a14="http://schemas.microsoft.com/office/drawing/2010/main" Requires="a14">
      <xdr:twoCellAnchor editAs="oneCell">
        <xdr:from>
          <xdr:col>0</xdr:col>
          <xdr:colOff>88900</xdr:colOff>
          <xdr:row>7</xdr:row>
          <xdr:rowOff>69850</xdr:rowOff>
        </xdr:from>
        <xdr:to>
          <xdr:col>3</xdr:col>
          <xdr:colOff>6350</xdr:colOff>
          <xdr:row>26</xdr:row>
          <xdr:rowOff>6350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Both Categories of GenAI Applications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13</xdr:row>
          <xdr:rowOff>19050</xdr:rowOff>
        </xdr:from>
        <xdr:to>
          <xdr:col>1</xdr:col>
          <xdr:colOff>7816850</xdr:colOff>
          <xdr:row>18</xdr:row>
          <xdr:rowOff>88900</xdr:rowOff>
        </xdr:to>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Generalized GenAI Applications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xdr:colOff>
          <xdr:row>19</xdr:row>
          <xdr:rowOff>12700</xdr:rowOff>
        </xdr:from>
        <xdr:to>
          <xdr:col>1</xdr:col>
          <xdr:colOff>7810500</xdr:colOff>
          <xdr:row>25</xdr:row>
          <xdr:rowOff>88900</xdr:rowOff>
        </xdr:to>
        <xdr:sp macro="" textlink="">
          <xdr:nvSpPr>
            <xdr:cNvPr id="6148" name="Group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Specialized GenAI Applications</a:t>
              </a:r>
            </a:p>
          </xdr:txBody>
        </xdr:sp>
        <xdr:clientData/>
      </xdr:twoCellAnchor>
    </mc:Choice>
    <mc:Fallback/>
  </mc:AlternateContent>
  <xdr:twoCellAnchor>
    <xdr:from>
      <xdr:col>1</xdr:col>
      <xdr:colOff>50800</xdr:colOff>
      <xdr:row>13</xdr:row>
      <xdr:rowOff>138821</xdr:rowOff>
    </xdr:from>
    <xdr:to>
      <xdr:col>1</xdr:col>
      <xdr:colOff>7759918</xdr:colOff>
      <xdr:row>14</xdr:row>
      <xdr:rowOff>120650</xdr:rowOff>
    </xdr:to>
    <xdr:sp macro="" textlink="DISP6">
      <xdr:nvSpPr>
        <xdr:cNvPr id="8" name="Rectangle 107">
          <a:extLst>
            <a:ext uri="{FF2B5EF4-FFF2-40B4-BE49-F238E27FC236}">
              <a16:creationId xmlns:a16="http://schemas.microsoft.com/office/drawing/2014/main" id="{00000000-0008-0000-0300-000008000000}"/>
            </a:ext>
          </a:extLst>
        </xdr:cNvPr>
        <xdr:cNvSpPr/>
      </xdr:nvSpPr>
      <xdr:spPr>
        <a:xfrm>
          <a:off x="177800" y="288202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8F4139E2-E648-4C12-B655-017A3338C15F}"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Agency: 4</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1162050</xdr:colOff>
      <xdr:row>5</xdr:row>
      <xdr:rowOff>146051</xdr:rowOff>
    </xdr:from>
    <xdr:to>
      <xdr:col>1</xdr:col>
      <xdr:colOff>3289300</xdr:colOff>
      <xdr:row>6</xdr:row>
      <xdr:rowOff>120650</xdr:rowOff>
    </xdr:to>
    <xdr:sp macro="" textlink="Hide!C53">
      <xdr:nvSpPr>
        <xdr:cNvPr id="9" name="Rectangle 500">
          <a:extLst>
            <a:ext uri="{FF2B5EF4-FFF2-40B4-BE49-F238E27FC236}">
              <a16:creationId xmlns:a16="http://schemas.microsoft.com/office/drawing/2014/main" id="{00000000-0008-0000-0300-000009000000}"/>
            </a:ext>
          </a:extLst>
        </xdr:cNvPr>
        <xdr:cNvSpPr/>
      </xdr:nvSpPr>
      <xdr:spPr>
        <a:xfrm>
          <a:off x="1289050" y="400051"/>
          <a:ext cx="2127250" cy="158749"/>
        </a:xfrm>
        <a:prstGeom prst="rect">
          <a:avLst/>
        </a:prstGeom>
        <a:solidFill>
          <a:srgbClr val="F5AB23"/>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81CB3069-6B2B-45EF-9E3E-B62E6A0FB62C}"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Generalized GenAI Score: 2.9</a:t>
          </a:fld>
          <a:endParaRPr lang="en-US" sz="800" b="1" kern="1200">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14</xdr:row>
      <xdr:rowOff>164221</xdr:rowOff>
    </xdr:from>
    <xdr:to>
      <xdr:col>1</xdr:col>
      <xdr:colOff>7759918</xdr:colOff>
      <xdr:row>15</xdr:row>
      <xdr:rowOff>146050</xdr:rowOff>
    </xdr:to>
    <xdr:sp macro="" textlink="DISP7">
      <xdr:nvSpPr>
        <xdr:cNvPr id="10" name="Rectangle 108">
          <a:extLst>
            <a:ext uri="{FF2B5EF4-FFF2-40B4-BE49-F238E27FC236}">
              <a16:creationId xmlns:a16="http://schemas.microsoft.com/office/drawing/2014/main" id="{00000000-0008-0000-0300-00000A000000}"/>
            </a:ext>
          </a:extLst>
        </xdr:cNvPr>
        <xdr:cNvSpPr/>
      </xdr:nvSpPr>
      <xdr:spPr>
        <a:xfrm>
          <a:off x="177800" y="309157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31365068-2778-4937-8493-2BF31D7555FB}"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Knowledge: 2.8</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19</xdr:row>
      <xdr:rowOff>119771</xdr:rowOff>
    </xdr:from>
    <xdr:to>
      <xdr:col>1</xdr:col>
      <xdr:colOff>7759918</xdr:colOff>
      <xdr:row>20</xdr:row>
      <xdr:rowOff>101600</xdr:rowOff>
    </xdr:to>
    <xdr:sp macro="" textlink="DISP11">
      <xdr:nvSpPr>
        <xdr:cNvPr id="12" name="Rectangle 112">
          <a:extLst>
            <a:ext uri="{FF2B5EF4-FFF2-40B4-BE49-F238E27FC236}">
              <a16:creationId xmlns:a16="http://schemas.microsoft.com/office/drawing/2014/main" id="{00000000-0008-0000-0300-00000C000000}"/>
            </a:ext>
          </a:extLst>
        </xdr:cNvPr>
        <xdr:cNvSpPr/>
      </xdr:nvSpPr>
      <xdr:spPr>
        <a:xfrm>
          <a:off x="177800" y="396787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27FF3095-7160-403B-B9A7-8587C9E274A7}"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Agency: 4</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4699000</xdr:colOff>
      <xdr:row>5</xdr:row>
      <xdr:rowOff>146051</xdr:rowOff>
    </xdr:from>
    <xdr:to>
      <xdr:col>1</xdr:col>
      <xdr:colOff>6826250</xdr:colOff>
      <xdr:row>6</xdr:row>
      <xdr:rowOff>120650</xdr:rowOff>
    </xdr:to>
    <xdr:sp macro="" textlink="Hide!C54">
      <xdr:nvSpPr>
        <xdr:cNvPr id="13" name="Rectangle 501">
          <a:extLst>
            <a:ext uri="{FF2B5EF4-FFF2-40B4-BE49-F238E27FC236}">
              <a16:creationId xmlns:a16="http://schemas.microsoft.com/office/drawing/2014/main" id="{00000000-0008-0000-0300-00000D000000}"/>
            </a:ext>
          </a:extLst>
        </xdr:cNvPr>
        <xdr:cNvSpPr/>
      </xdr:nvSpPr>
      <xdr:spPr>
        <a:xfrm>
          <a:off x="4826000" y="400051"/>
          <a:ext cx="2127250" cy="158749"/>
        </a:xfrm>
        <a:prstGeom prst="rect">
          <a:avLst/>
        </a:prstGeom>
        <a:solidFill>
          <a:srgbClr val="F5AB23"/>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DC48BAAB-2BD0-44D9-9BC5-27E0AEAAE84D}"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Specialized GenAI Score: 3.11</a:t>
          </a:fld>
          <a:endParaRPr lang="en-US" sz="800" b="1" kern="1200">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20</xdr:row>
      <xdr:rowOff>138821</xdr:rowOff>
    </xdr:from>
    <xdr:to>
      <xdr:col>1</xdr:col>
      <xdr:colOff>7759918</xdr:colOff>
      <xdr:row>21</xdr:row>
      <xdr:rowOff>120650</xdr:rowOff>
    </xdr:to>
    <xdr:sp macro="" textlink="DISP12">
      <xdr:nvSpPr>
        <xdr:cNvPr id="14" name="Rectangle 113">
          <a:extLst>
            <a:ext uri="{FF2B5EF4-FFF2-40B4-BE49-F238E27FC236}">
              <a16:creationId xmlns:a16="http://schemas.microsoft.com/office/drawing/2014/main" id="{00000000-0008-0000-0300-00000E000000}"/>
            </a:ext>
          </a:extLst>
        </xdr:cNvPr>
        <xdr:cNvSpPr/>
      </xdr:nvSpPr>
      <xdr:spPr>
        <a:xfrm>
          <a:off x="177800" y="417107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C232D80E-2F26-43D0-841D-6ABC33BA20A4}"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Financial: 1</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21</xdr:row>
      <xdr:rowOff>157871</xdr:rowOff>
    </xdr:from>
    <xdr:to>
      <xdr:col>1</xdr:col>
      <xdr:colOff>7759918</xdr:colOff>
      <xdr:row>22</xdr:row>
      <xdr:rowOff>139700</xdr:rowOff>
    </xdr:to>
    <xdr:sp macro="" textlink="DISP13">
      <xdr:nvSpPr>
        <xdr:cNvPr id="15" name="Rectangle 114">
          <a:extLst>
            <a:ext uri="{FF2B5EF4-FFF2-40B4-BE49-F238E27FC236}">
              <a16:creationId xmlns:a16="http://schemas.microsoft.com/office/drawing/2014/main" id="{00000000-0008-0000-0300-00000F000000}"/>
            </a:ext>
          </a:extLst>
        </xdr:cNvPr>
        <xdr:cNvSpPr/>
      </xdr:nvSpPr>
      <xdr:spPr>
        <a:xfrm>
          <a:off x="177800" y="437427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0E20481F-10BF-4A87-B6D6-74AB538AF7DB}"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Knowledge: 5</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22</xdr:row>
      <xdr:rowOff>176921</xdr:rowOff>
    </xdr:from>
    <xdr:to>
      <xdr:col>1</xdr:col>
      <xdr:colOff>7759918</xdr:colOff>
      <xdr:row>23</xdr:row>
      <xdr:rowOff>158750</xdr:rowOff>
    </xdr:to>
    <xdr:sp macro="" textlink="DISP14">
      <xdr:nvSpPr>
        <xdr:cNvPr id="16" name="Rectangle 115">
          <a:extLst>
            <a:ext uri="{FF2B5EF4-FFF2-40B4-BE49-F238E27FC236}">
              <a16:creationId xmlns:a16="http://schemas.microsoft.com/office/drawing/2014/main" id="{00000000-0008-0000-0300-000010000000}"/>
            </a:ext>
          </a:extLst>
        </xdr:cNvPr>
        <xdr:cNvSpPr/>
      </xdr:nvSpPr>
      <xdr:spPr>
        <a:xfrm>
          <a:off x="177800" y="457747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089A8545-7E42-4A7A-8B7E-2C6811C5DC6C}"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People: 2.5</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16</xdr:row>
      <xdr:rowOff>5471</xdr:rowOff>
    </xdr:from>
    <xdr:to>
      <xdr:col>1</xdr:col>
      <xdr:colOff>7759918</xdr:colOff>
      <xdr:row>16</xdr:row>
      <xdr:rowOff>171450</xdr:rowOff>
    </xdr:to>
    <xdr:sp macro="" textlink="DISP8">
      <xdr:nvSpPr>
        <xdr:cNvPr id="17" name="Rectangle 118">
          <a:extLst>
            <a:ext uri="{FF2B5EF4-FFF2-40B4-BE49-F238E27FC236}">
              <a16:creationId xmlns:a16="http://schemas.microsoft.com/office/drawing/2014/main" id="{00000000-0008-0000-0300-000011000000}"/>
            </a:ext>
          </a:extLst>
        </xdr:cNvPr>
        <xdr:cNvSpPr/>
      </xdr:nvSpPr>
      <xdr:spPr>
        <a:xfrm>
          <a:off x="177800" y="330112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069A73B2-1494-40AF-B9E3-E81EFE65DA20}"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Legal: 2.4</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8</xdr:row>
      <xdr:rowOff>37221</xdr:rowOff>
    </xdr:from>
    <xdr:to>
      <xdr:col>1</xdr:col>
      <xdr:colOff>7759918</xdr:colOff>
      <xdr:row>9</xdr:row>
      <xdr:rowOff>19050</xdr:rowOff>
    </xdr:to>
    <xdr:sp macro="" textlink="DISP1">
      <xdr:nvSpPr>
        <xdr:cNvPr id="18" name="Rectangle 102">
          <a:extLst>
            <a:ext uri="{FF2B5EF4-FFF2-40B4-BE49-F238E27FC236}">
              <a16:creationId xmlns:a16="http://schemas.microsoft.com/office/drawing/2014/main" id="{00000000-0008-0000-0300-000012000000}"/>
            </a:ext>
          </a:extLst>
        </xdr:cNvPr>
        <xdr:cNvSpPr/>
      </xdr:nvSpPr>
      <xdr:spPr>
        <a:xfrm>
          <a:off x="177800" y="185967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81260B1F-9137-4286-8FA5-793E9667CC96}"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Culture: 5</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9</xdr:row>
      <xdr:rowOff>56271</xdr:rowOff>
    </xdr:from>
    <xdr:to>
      <xdr:col>1</xdr:col>
      <xdr:colOff>7759918</xdr:colOff>
      <xdr:row>10</xdr:row>
      <xdr:rowOff>38100</xdr:rowOff>
    </xdr:to>
    <xdr:sp macro="" textlink="DISP3">
      <xdr:nvSpPr>
        <xdr:cNvPr id="20" name="Rectangle 104">
          <a:extLst>
            <a:ext uri="{FF2B5EF4-FFF2-40B4-BE49-F238E27FC236}">
              <a16:creationId xmlns:a16="http://schemas.microsoft.com/office/drawing/2014/main" id="{00000000-0008-0000-0300-000014000000}"/>
            </a:ext>
          </a:extLst>
        </xdr:cNvPr>
        <xdr:cNvSpPr/>
      </xdr:nvSpPr>
      <xdr:spPr>
        <a:xfrm>
          <a:off x="177800" y="206287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3344789B-B388-438A-AD6C-806B5890B138}"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People: 2</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10</xdr:row>
      <xdr:rowOff>81671</xdr:rowOff>
    </xdr:from>
    <xdr:to>
      <xdr:col>1</xdr:col>
      <xdr:colOff>7759918</xdr:colOff>
      <xdr:row>11</xdr:row>
      <xdr:rowOff>63500</xdr:rowOff>
    </xdr:to>
    <xdr:sp macro="" textlink="DISP4">
      <xdr:nvSpPr>
        <xdr:cNvPr id="2" name="Rectangle 105">
          <a:extLst>
            <a:ext uri="{FF2B5EF4-FFF2-40B4-BE49-F238E27FC236}">
              <a16:creationId xmlns:a16="http://schemas.microsoft.com/office/drawing/2014/main" id="{00000000-0008-0000-0300-000002000000}"/>
            </a:ext>
          </a:extLst>
        </xdr:cNvPr>
        <xdr:cNvSpPr/>
      </xdr:nvSpPr>
      <xdr:spPr>
        <a:xfrm>
          <a:off x="177800" y="227242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3565229D-4725-4A3A-B735-418B16AFB933}"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Process: 3</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11</xdr:row>
      <xdr:rowOff>107071</xdr:rowOff>
    </xdr:from>
    <xdr:to>
      <xdr:col>1</xdr:col>
      <xdr:colOff>7759918</xdr:colOff>
      <xdr:row>12</xdr:row>
      <xdr:rowOff>88900</xdr:rowOff>
    </xdr:to>
    <xdr:sp macro="" textlink="DISP5">
      <xdr:nvSpPr>
        <xdr:cNvPr id="4" name="Rectangle 106">
          <a:extLst>
            <a:ext uri="{FF2B5EF4-FFF2-40B4-BE49-F238E27FC236}">
              <a16:creationId xmlns:a16="http://schemas.microsoft.com/office/drawing/2014/main" id="{00000000-0008-0000-0300-000004000000}"/>
            </a:ext>
          </a:extLst>
        </xdr:cNvPr>
        <xdr:cNvSpPr/>
      </xdr:nvSpPr>
      <xdr:spPr>
        <a:xfrm>
          <a:off x="177800" y="248197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CB1A239C-BA8C-4C75-AB0E-3444A942EE32}"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Trust: 3</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17</xdr:row>
      <xdr:rowOff>37221</xdr:rowOff>
    </xdr:from>
    <xdr:to>
      <xdr:col>1</xdr:col>
      <xdr:colOff>7759918</xdr:colOff>
      <xdr:row>18</xdr:row>
      <xdr:rowOff>19050</xdr:rowOff>
    </xdr:to>
    <xdr:sp macro="" textlink="DISP10">
      <xdr:nvSpPr>
        <xdr:cNvPr id="6" name="Rectangle 111">
          <a:extLst>
            <a:ext uri="{FF2B5EF4-FFF2-40B4-BE49-F238E27FC236}">
              <a16:creationId xmlns:a16="http://schemas.microsoft.com/office/drawing/2014/main" id="{00000000-0008-0000-0300-000006000000}"/>
            </a:ext>
          </a:extLst>
        </xdr:cNvPr>
        <xdr:cNvSpPr/>
      </xdr:nvSpPr>
      <xdr:spPr>
        <a:xfrm>
          <a:off x="177800" y="351702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82061CB7-B5C2-4201-8705-F0861BE45652}"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Process: 1</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50800</xdr:colOff>
      <xdr:row>24</xdr:row>
      <xdr:rowOff>18171</xdr:rowOff>
    </xdr:from>
    <xdr:to>
      <xdr:col>1</xdr:col>
      <xdr:colOff>7759918</xdr:colOff>
      <xdr:row>25</xdr:row>
      <xdr:rowOff>0</xdr:rowOff>
    </xdr:to>
    <xdr:sp macro="" textlink="DISP15">
      <xdr:nvSpPr>
        <xdr:cNvPr id="23" name="Rectangle 116">
          <a:extLst>
            <a:ext uri="{FF2B5EF4-FFF2-40B4-BE49-F238E27FC236}">
              <a16:creationId xmlns:a16="http://schemas.microsoft.com/office/drawing/2014/main" id="{00000000-0008-0000-0300-000017000000}"/>
            </a:ext>
          </a:extLst>
        </xdr:cNvPr>
        <xdr:cNvSpPr/>
      </xdr:nvSpPr>
      <xdr:spPr>
        <a:xfrm>
          <a:off x="177800" y="4787021"/>
          <a:ext cx="7709118" cy="165979"/>
        </a:xfrm>
        <a:prstGeom prst="rect">
          <a:avLst/>
        </a:prstGeom>
        <a:gradFill flip="none" rotWithShape="1">
          <a:gsLst>
            <a:gs pos="26000">
              <a:srgbClr val="F5AB23"/>
            </a:gs>
            <a:gs pos="5000">
              <a:srgbClr val="DE0A01"/>
            </a:gs>
            <a:gs pos="73000">
              <a:srgbClr val="F5AB23"/>
            </a:gs>
            <a:gs pos="95000">
              <a:srgbClr val="00A76D"/>
            </a:gs>
          </a:gsLst>
          <a:lin ang="0" scaled="1"/>
          <a:tileRect/>
        </a:gradFill>
      </xdr:spPr>
      <xdr:txBody>
        <a:bodyPr wrap="square" anchor="ctr">
          <a:noAutofit/>
        </a:bodyPr>
        <a:lstStyle/>
        <a:p>
          <a:pPr marL="0" indent="0" algn="ctr" defTabSz="914400" rtl="0" eaLnBrk="1" latinLnBrk="0" hangingPunct="1"/>
          <a:fld id="{F145F88D-F7FB-4CA1-BCB8-0841C27F88BD}" type="TxLink">
            <a:rPr lang="en-US" sz="1000" b="0" i="0" u="none" strike="noStrike" kern="1200">
              <a:solidFill>
                <a:srgbClr val="000000"/>
              </a:solidFill>
              <a:latin typeface="Ariel"/>
              <a:ea typeface="+mn-ea"/>
              <a:cs typeface="Arial" panose="020B0604020202020204" pitchFamily="34" charset="0"/>
            </a:rPr>
            <a:pPr marL="0" indent="0" algn="ctr" defTabSz="914400" rtl="0" eaLnBrk="1" latinLnBrk="0" hangingPunct="1"/>
            <a:t>Process: 2.4</a:t>
          </a:fld>
          <a:endParaRPr lang="en-US" sz="800" b="1" i="0" u="none" strike="noStrike" kern="1200">
            <a:solidFill>
              <a:schemeClr val="accent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3860800</xdr:colOff>
      <xdr:row>11</xdr:row>
      <xdr:rowOff>95250</xdr:rowOff>
    </xdr:from>
    <xdr:to>
      <xdr:col>1</xdr:col>
      <xdr:colOff>3930650</xdr:colOff>
      <xdr:row>12</xdr:row>
      <xdr:rowOff>93980</xdr:rowOff>
    </xdr:to>
    <xdr:sp macro="" textlink="" fLocksText="0">
      <xdr:nvSpPr>
        <xdr:cNvPr id="27" name="Rectangle 6">
          <a:extLst>
            <a:ext uri="{FF2B5EF4-FFF2-40B4-BE49-F238E27FC236}">
              <a16:creationId xmlns:a16="http://schemas.microsoft.com/office/drawing/2014/main" id="{00000000-0008-0000-0300-00001B000000}"/>
            </a:ext>
          </a:extLst>
        </xdr:cNvPr>
        <xdr:cNvSpPr/>
      </xdr:nvSpPr>
      <xdr:spPr bwMode="gray">
        <a:xfrm>
          <a:off x="3987800" y="24701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3435350</xdr:colOff>
          <xdr:row>1</xdr:row>
          <xdr:rowOff>114300</xdr:rowOff>
        </xdr:from>
        <xdr:to>
          <xdr:col>5</xdr:col>
          <xdr:colOff>184150</xdr:colOff>
          <xdr:row>4</xdr:row>
          <xdr:rowOff>247650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GenAI Technologies</a:t>
              </a:r>
            </a:p>
          </xdr:txBody>
        </xdr:sp>
        <xdr:clientData/>
      </xdr:twoCellAnchor>
    </mc:Choice>
    <mc:Fallback/>
  </mc:AlternateContent>
  <xdr:twoCellAnchor>
    <xdr:from>
      <xdr:col>1</xdr:col>
      <xdr:colOff>3524250</xdr:colOff>
      <xdr:row>1</xdr:row>
      <xdr:rowOff>234951</xdr:rowOff>
    </xdr:from>
    <xdr:to>
      <xdr:col>1</xdr:col>
      <xdr:colOff>6419850</xdr:colOff>
      <xdr:row>2</xdr:row>
      <xdr:rowOff>184150</xdr:rowOff>
    </xdr:to>
    <xdr:sp macro="" textlink="Hide!C66">
      <xdr:nvSpPr>
        <xdr:cNvPr id="7" name="Rectangle 502">
          <a:extLst>
            <a:ext uri="{FF2B5EF4-FFF2-40B4-BE49-F238E27FC236}">
              <a16:creationId xmlns:a16="http://schemas.microsoft.com/office/drawing/2014/main" id="{00000000-0008-0000-0300-000007000000}"/>
            </a:ext>
          </a:extLst>
        </xdr:cNvPr>
        <xdr:cNvSpPr/>
      </xdr:nvSpPr>
      <xdr:spPr>
        <a:xfrm>
          <a:off x="3651250" y="488951"/>
          <a:ext cx="2895600" cy="203199"/>
        </a:xfrm>
        <a:prstGeom prst="rect">
          <a:avLst/>
        </a:prstGeom>
        <a:solidFill>
          <a:srgbClr val="00A76D"/>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66C3BC01-F8F6-48FC-B797-A6513E52FE12}"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Probability-Based Decision Making: Ready</a:t>
          </a:fld>
          <a:endParaRPr lang="en-US" sz="800" b="1" kern="1200">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xdr:col>
      <xdr:colOff>3530600</xdr:colOff>
      <xdr:row>2</xdr:row>
      <xdr:rowOff>215900</xdr:rowOff>
    </xdr:from>
    <xdr:to>
      <xdr:col>1</xdr:col>
      <xdr:colOff>6429248</xdr:colOff>
      <xdr:row>3</xdr:row>
      <xdr:rowOff>163068</xdr:rowOff>
    </xdr:to>
    <xdr:sp macro="" textlink="Hide!C67">
      <xdr:nvSpPr>
        <xdr:cNvPr id="22" name="Rectangle 503">
          <a:extLst>
            <a:ext uri="{FF2B5EF4-FFF2-40B4-BE49-F238E27FC236}">
              <a16:creationId xmlns:a16="http://schemas.microsoft.com/office/drawing/2014/main" id="{00000000-0008-0000-0300-000016000000}"/>
            </a:ext>
          </a:extLst>
        </xdr:cNvPr>
        <xdr:cNvSpPr/>
      </xdr:nvSpPr>
      <xdr:spPr>
        <a:xfrm>
          <a:off x="3657600" y="723900"/>
          <a:ext cx="2898648" cy="201168"/>
        </a:xfrm>
        <a:prstGeom prst="rect">
          <a:avLst/>
        </a:prstGeom>
        <a:solidFill>
          <a:srgbClr val="DE0A01"/>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B4094792-5BC6-46F8-9D27-E5FC80E6DD18}" type="TxLink">
            <a:rPr lang="en-US" sz="1000" b="0" i="0" u="none" strike="noStrike" kern="1200" baseline="0">
              <a:solidFill>
                <a:srgbClr val="FFFFFF"/>
              </a:solidFill>
              <a:latin typeface="Ariel"/>
              <a:ea typeface="+mn-ea"/>
              <a:cs typeface="Arial" panose="020B0604020202020204" pitchFamily="34" charset="0"/>
            </a:rPr>
            <a:pPr marL="0" indent="0" algn="ctr" defTabSz="914400" rtl="0" eaLnBrk="1" latinLnBrk="0" hangingPunct="1"/>
            <a:t>Ethical Considerations: Not Ready</a:t>
          </a:fld>
          <a:endParaRPr lang="en-US" sz="800" b="1" kern="1200">
            <a:solidFill>
              <a:srgbClr val="FFFFFF"/>
            </a:solidFill>
            <a:latin typeface="Arial" panose="020B0604020202020204" pitchFamily="34" charset="0"/>
            <a:ea typeface="+mn-ea"/>
            <a:cs typeface="Arial" panose="020B0604020202020204" pitchFamily="34" charset="0"/>
          </a:endParaRPr>
        </a:p>
      </xdr:txBody>
    </xdr:sp>
    <xdr:clientData/>
  </xdr:twoCellAnchor>
  <xdr:twoCellAnchor>
    <xdr:from>
      <xdr:col>1</xdr:col>
      <xdr:colOff>3530600</xdr:colOff>
      <xdr:row>3</xdr:row>
      <xdr:rowOff>196851</xdr:rowOff>
    </xdr:from>
    <xdr:to>
      <xdr:col>1</xdr:col>
      <xdr:colOff>6429248</xdr:colOff>
      <xdr:row>4</xdr:row>
      <xdr:rowOff>144019</xdr:rowOff>
    </xdr:to>
    <xdr:sp macro="" textlink="Hide!C68">
      <xdr:nvSpPr>
        <xdr:cNvPr id="38" name="Rectangle 504">
          <a:extLst>
            <a:ext uri="{FF2B5EF4-FFF2-40B4-BE49-F238E27FC236}">
              <a16:creationId xmlns:a16="http://schemas.microsoft.com/office/drawing/2014/main" id="{00000000-0008-0000-0300-000026000000}"/>
            </a:ext>
          </a:extLst>
        </xdr:cNvPr>
        <xdr:cNvSpPr/>
      </xdr:nvSpPr>
      <xdr:spPr>
        <a:xfrm>
          <a:off x="3657600" y="958851"/>
          <a:ext cx="2898648" cy="201168"/>
        </a:xfrm>
        <a:prstGeom prst="rect">
          <a:avLst/>
        </a:prstGeom>
        <a:solidFill>
          <a:srgbClr val="00A76D"/>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05256484-D3BD-4087-9277-F57C6B4DEF10}" type="TxLink">
            <a:rPr lang="en-US" sz="1000" b="0" i="0" u="none" strike="noStrike" kern="1200" baseline="0">
              <a:solidFill>
                <a:srgbClr val="000000"/>
              </a:solidFill>
              <a:latin typeface="Ariel"/>
              <a:ea typeface="+mn-ea"/>
              <a:cs typeface="Arial" panose="020B0604020202020204" pitchFamily="34" charset="0"/>
            </a:rPr>
            <a:pPr marL="0" indent="0" algn="ctr" defTabSz="914400" rtl="0" eaLnBrk="1" latinLnBrk="0" hangingPunct="1"/>
            <a:t>Regulatory: Ready</a:t>
          </a:fld>
          <a:endParaRPr lang="en-US" sz="800" b="1" kern="1200">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1</xdr:col>
      <xdr:colOff>6470650</xdr:colOff>
      <xdr:row>1</xdr:row>
      <xdr:rowOff>234951</xdr:rowOff>
    </xdr:from>
    <xdr:to>
      <xdr:col>5</xdr:col>
      <xdr:colOff>91948</xdr:colOff>
      <xdr:row>2</xdr:row>
      <xdr:rowOff>182119</xdr:rowOff>
    </xdr:to>
    <xdr:sp macro="" textlink="Hide!C69">
      <xdr:nvSpPr>
        <xdr:cNvPr id="39" name="Rectangle 505">
          <a:extLst>
            <a:ext uri="{FF2B5EF4-FFF2-40B4-BE49-F238E27FC236}">
              <a16:creationId xmlns:a16="http://schemas.microsoft.com/office/drawing/2014/main" id="{00000000-0008-0000-0300-000027000000}"/>
            </a:ext>
          </a:extLst>
        </xdr:cNvPr>
        <xdr:cNvSpPr/>
      </xdr:nvSpPr>
      <xdr:spPr>
        <a:xfrm>
          <a:off x="6597650" y="488951"/>
          <a:ext cx="2898648" cy="201168"/>
        </a:xfrm>
        <a:prstGeom prst="rect">
          <a:avLst/>
        </a:prstGeom>
        <a:solidFill>
          <a:srgbClr val="DE0A01"/>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ACBBC2E4-4347-459E-AAD2-DB919417742E}" type="TxLink">
            <a:rPr lang="en-US" sz="1000" b="0" i="0" u="none" strike="noStrike" kern="1200" baseline="0">
              <a:solidFill>
                <a:srgbClr val="FFFFFF"/>
              </a:solidFill>
              <a:latin typeface="Ariel"/>
              <a:ea typeface="+mn-ea"/>
              <a:cs typeface="Arial" panose="020B0604020202020204" pitchFamily="34" charset="0"/>
            </a:rPr>
            <a:pPr marL="0" indent="0" algn="ctr" defTabSz="914400" rtl="0" eaLnBrk="1" latinLnBrk="0" hangingPunct="1"/>
            <a:t>Adopting Stakeholder Pressure: Not Ready</a:t>
          </a:fld>
          <a:endParaRPr lang="en-US" sz="800" b="1" kern="1200">
            <a:solidFill>
              <a:srgbClr val="FFFFFF"/>
            </a:solidFill>
            <a:latin typeface="Arial" panose="020B0604020202020204" pitchFamily="34" charset="0"/>
            <a:ea typeface="+mn-ea"/>
            <a:cs typeface="Arial" panose="020B0604020202020204" pitchFamily="34" charset="0"/>
          </a:endParaRPr>
        </a:p>
      </xdr:txBody>
    </xdr:sp>
    <xdr:clientData/>
  </xdr:twoCellAnchor>
  <xdr:twoCellAnchor>
    <xdr:from>
      <xdr:col>1</xdr:col>
      <xdr:colOff>6470650</xdr:colOff>
      <xdr:row>2</xdr:row>
      <xdr:rowOff>215901</xdr:rowOff>
    </xdr:from>
    <xdr:to>
      <xdr:col>5</xdr:col>
      <xdr:colOff>91948</xdr:colOff>
      <xdr:row>3</xdr:row>
      <xdr:rowOff>163069</xdr:rowOff>
    </xdr:to>
    <xdr:sp macro="" textlink="Hide!C70">
      <xdr:nvSpPr>
        <xdr:cNvPr id="40" name="Rectangle 506">
          <a:extLst>
            <a:ext uri="{FF2B5EF4-FFF2-40B4-BE49-F238E27FC236}">
              <a16:creationId xmlns:a16="http://schemas.microsoft.com/office/drawing/2014/main" id="{00000000-0008-0000-0300-000028000000}"/>
            </a:ext>
          </a:extLst>
        </xdr:cNvPr>
        <xdr:cNvSpPr/>
      </xdr:nvSpPr>
      <xdr:spPr>
        <a:xfrm>
          <a:off x="6597650" y="723901"/>
          <a:ext cx="2898648" cy="201168"/>
        </a:xfrm>
        <a:prstGeom prst="rect">
          <a:avLst/>
        </a:prstGeom>
        <a:solidFill>
          <a:srgbClr val="DE0A01"/>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6FEA5E26-80C1-4D36-92B3-704F2B1FDEE6}" type="TxLink">
            <a:rPr lang="en-US" sz="1000" b="0" i="0" u="none" strike="noStrike" kern="1200" baseline="0">
              <a:solidFill>
                <a:srgbClr val="FFFFFF"/>
              </a:solidFill>
              <a:latin typeface="Ariel"/>
              <a:ea typeface="+mn-ea"/>
              <a:cs typeface="Arial" panose="020B0604020202020204" pitchFamily="34" charset="0"/>
            </a:rPr>
            <a:pPr marL="0" indent="0" algn="ctr" defTabSz="914400" rtl="0" eaLnBrk="1" latinLnBrk="0" hangingPunct="1"/>
            <a:t>Not Adopting Stakeholder Pressure: Not Ready</a:t>
          </a:fld>
          <a:endParaRPr lang="en-US" sz="800" b="1" kern="1200">
            <a:solidFill>
              <a:srgbClr val="FFFFFF"/>
            </a:solidFill>
            <a:latin typeface="Arial" panose="020B0604020202020204" pitchFamily="34" charset="0"/>
            <a:ea typeface="+mn-ea"/>
            <a:cs typeface="Arial" panose="020B0604020202020204" pitchFamily="34" charset="0"/>
          </a:endParaRPr>
        </a:p>
      </xdr:txBody>
    </xdr:sp>
    <xdr:clientData/>
  </xdr:twoCellAnchor>
  <xdr:twoCellAnchor>
    <xdr:from>
      <xdr:col>1</xdr:col>
      <xdr:colOff>6477000</xdr:colOff>
      <xdr:row>3</xdr:row>
      <xdr:rowOff>196851</xdr:rowOff>
    </xdr:from>
    <xdr:to>
      <xdr:col>5</xdr:col>
      <xdr:colOff>98298</xdr:colOff>
      <xdr:row>4</xdr:row>
      <xdr:rowOff>144019</xdr:rowOff>
    </xdr:to>
    <xdr:sp macro="" textlink="Hide!C71">
      <xdr:nvSpPr>
        <xdr:cNvPr id="41" name="Rectangle 507">
          <a:extLst>
            <a:ext uri="{FF2B5EF4-FFF2-40B4-BE49-F238E27FC236}">
              <a16:creationId xmlns:a16="http://schemas.microsoft.com/office/drawing/2014/main" id="{00000000-0008-0000-0300-000029000000}"/>
            </a:ext>
          </a:extLst>
        </xdr:cNvPr>
        <xdr:cNvSpPr/>
      </xdr:nvSpPr>
      <xdr:spPr>
        <a:xfrm>
          <a:off x="6604000" y="958851"/>
          <a:ext cx="2898648" cy="201168"/>
        </a:xfrm>
        <a:prstGeom prst="rect">
          <a:avLst/>
        </a:prstGeom>
        <a:solidFill>
          <a:srgbClr val="DE0A01"/>
        </a:solidFill>
      </xdr:spPr>
      <xdr:txBody>
        <a:bodyPr wrap="square"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ctr" defTabSz="914400" rtl="0" eaLnBrk="1" latinLnBrk="0" hangingPunct="1"/>
          <a:fld id="{CFADE7F6-295A-4545-B66A-DD254BAF86C9}" type="TxLink">
            <a:rPr lang="en-US" sz="1000" b="0" i="0" u="none" strike="noStrike" kern="1200" baseline="0">
              <a:solidFill>
                <a:srgbClr val="FFFFFF"/>
              </a:solidFill>
              <a:latin typeface="Ariel"/>
              <a:ea typeface="+mn-ea"/>
              <a:cs typeface="Arial" panose="020B0604020202020204" pitchFamily="34" charset="0"/>
            </a:rPr>
            <a:pPr marL="0" indent="0" algn="ctr" defTabSz="914400" rtl="0" eaLnBrk="1" latinLnBrk="0" hangingPunct="1"/>
            <a:t>Reputational Risk: Not Ready</a:t>
          </a:fld>
          <a:endParaRPr lang="en-US" sz="800" b="1" kern="1200">
            <a:solidFill>
              <a:srgbClr val="FFFFFF"/>
            </a:solidFill>
            <a:latin typeface="Arial" panose="020B0604020202020204" pitchFamily="34" charset="0"/>
            <a:ea typeface="+mn-ea"/>
            <a:cs typeface="Arial" panose="020B0604020202020204" pitchFamily="34" charset="0"/>
          </a:endParaRPr>
        </a:p>
      </xdr:txBody>
    </xdr:sp>
    <xdr:clientData/>
  </xdr:twoCellAnchor>
  <xdr:twoCellAnchor>
    <xdr:from>
      <xdr:col>1</xdr:col>
      <xdr:colOff>7670800</xdr:colOff>
      <xdr:row>8</xdr:row>
      <xdr:rowOff>25400</xdr:rowOff>
    </xdr:from>
    <xdr:to>
      <xdr:col>1</xdr:col>
      <xdr:colOff>7740650</xdr:colOff>
      <xdr:row>9</xdr:row>
      <xdr:rowOff>24130</xdr:rowOff>
    </xdr:to>
    <xdr:sp macro="" textlink="" fLocksText="0">
      <xdr:nvSpPr>
        <xdr:cNvPr id="11" name="Rectangle 3">
          <a:extLst>
            <a:ext uri="{FF2B5EF4-FFF2-40B4-BE49-F238E27FC236}">
              <a16:creationId xmlns:a16="http://schemas.microsoft.com/office/drawing/2014/main" id="{70433A36-B877-40AE-B50E-85B8DFA55E56}"/>
            </a:ext>
          </a:extLst>
        </xdr:cNvPr>
        <xdr:cNvSpPr/>
      </xdr:nvSpPr>
      <xdr:spPr bwMode="gray">
        <a:xfrm>
          <a:off x="7797800" y="18478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1955800</xdr:colOff>
      <xdr:row>9</xdr:row>
      <xdr:rowOff>44450</xdr:rowOff>
    </xdr:from>
    <xdr:to>
      <xdr:col>1</xdr:col>
      <xdr:colOff>2025650</xdr:colOff>
      <xdr:row>10</xdr:row>
      <xdr:rowOff>43180</xdr:rowOff>
    </xdr:to>
    <xdr:sp macro="" textlink="" fLocksText="0">
      <xdr:nvSpPr>
        <xdr:cNvPr id="24" name="Rectangle 4">
          <a:extLst>
            <a:ext uri="{FF2B5EF4-FFF2-40B4-BE49-F238E27FC236}">
              <a16:creationId xmlns:a16="http://schemas.microsoft.com/office/drawing/2014/main" id="{20E6F8D7-EEBA-46E9-9DEE-C456E216677B}"/>
            </a:ext>
          </a:extLst>
        </xdr:cNvPr>
        <xdr:cNvSpPr/>
      </xdr:nvSpPr>
      <xdr:spPr bwMode="gray">
        <a:xfrm>
          <a:off x="2082800" y="20510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3860800</xdr:colOff>
      <xdr:row>10</xdr:row>
      <xdr:rowOff>69850</xdr:rowOff>
    </xdr:from>
    <xdr:to>
      <xdr:col>1</xdr:col>
      <xdr:colOff>3930650</xdr:colOff>
      <xdr:row>11</xdr:row>
      <xdr:rowOff>68580</xdr:rowOff>
    </xdr:to>
    <xdr:sp macro="" textlink="" fLocksText="0">
      <xdr:nvSpPr>
        <xdr:cNvPr id="31" name="Rectangle 5">
          <a:extLst>
            <a:ext uri="{FF2B5EF4-FFF2-40B4-BE49-F238E27FC236}">
              <a16:creationId xmlns:a16="http://schemas.microsoft.com/office/drawing/2014/main" id="{936FF570-E043-440F-99A2-D354A932516A}"/>
            </a:ext>
          </a:extLst>
        </xdr:cNvPr>
        <xdr:cNvSpPr/>
      </xdr:nvSpPr>
      <xdr:spPr bwMode="gray">
        <a:xfrm>
          <a:off x="3987800" y="226060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5765800</xdr:colOff>
      <xdr:row>13</xdr:row>
      <xdr:rowOff>133350</xdr:rowOff>
    </xdr:from>
    <xdr:to>
      <xdr:col>1</xdr:col>
      <xdr:colOff>5835650</xdr:colOff>
      <xdr:row>14</xdr:row>
      <xdr:rowOff>132080</xdr:rowOff>
    </xdr:to>
    <xdr:sp macro="" textlink="" fLocksText="0">
      <xdr:nvSpPr>
        <xdr:cNvPr id="42" name="Rectangle 7">
          <a:extLst>
            <a:ext uri="{FF2B5EF4-FFF2-40B4-BE49-F238E27FC236}">
              <a16:creationId xmlns:a16="http://schemas.microsoft.com/office/drawing/2014/main" id="{F4D58EBC-CE30-491A-885C-7B242059333B}"/>
            </a:ext>
          </a:extLst>
        </xdr:cNvPr>
        <xdr:cNvSpPr/>
      </xdr:nvSpPr>
      <xdr:spPr bwMode="gray">
        <a:xfrm>
          <a:off x="5892800" y="28765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3479800</xdr:colOff>
      <xdr:row>14</xdr:row>
      <xdr:rowOff>158750</xdr:rowOff>
    </xdr:from>
    <xdr:to>
      <xdr:col>1</xdr:col>
      <xdr:colOff>3549650</xdr:colOff>
      <xdr:row>15</xdr:row>
      <xdr:rowOff>157480</xdr:rowOff>
    </xdr:to>
    <xdr:sp macro="" textlink="" fLocksText="0">
      <xdr:nvSpPr>
        <xdr:cNvPr id="43" name="Rectangle 8">
          <a:extLst>
            <a:ext uri="{FF2B5EF4-FFF2-40B4-BE49-F238E27FC236}">
              <a16:creationId xmlns:a16="http://schemas.microsoft.com/office/drawing/2014/main" id="{B94867EE-5CDF-4FA7-839F-756966037139}"/>
            </a:ext>
          </a:extLst>
        </xdr:cNvPr>
        <xdr:cNvSpPr/>
      </xdr:nvSpPr>
      <xdr:spPr bwMode="gray">
        <a:xfrm>
          <a:off x="3606800" y="308610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2717800</xdr:colOff>
      <xdr:row>16</xdr:row>
      <xdr:rowOff>0</xdr:rowOff>
    </xdr:from>
    <xdr:to>
      <xdr:col>1</xdr:col>
      <xdr:colOff>2787650</xdr:colOff>
      <xdr:row>16</xdr:row>
      <xdr:rowOff>182880</xdr:rowOff>
    </xdr:to>
    <xdr:sp macro="" textlink="" fLocksText="0">
      <xdr:nvSpPr>
        <xdr:cNvPr id="44" name="Rectangle 9">
          <a:extLst>
            <a:ext uri="{FF2B5EF4-FFF2-40B4-BE49-F238E27FC236}">
              <a16:creationId xmlns:a16="http://schemas.microsoft.com/office/drawing/2014/main" id="{96AFB4A0-38C6-4100-9CA8-CCB39611CFA4}"/>
            </a:ext>
          </a:extLst>
        </xdr:cNvPr>
        <xdr:cNvSpPr/>
      </xdr:nvSpPr>
      <xdr:spPr bwMode="gray">
        <a:xfrm>
          <a:off x="2844800" y="32956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50800</xdr:colOff>
      <xdr:row>17</xdr:row>
      <xdr:rowOff>25400</xdr:rowOff>
    </xdr:from>
    <xdr:to>
      <xdr:col>1</xdr:col>
      <xdr:colOff>120650</xdr:colOff>
      <xdr:row>18</xdr:row>
      <xdr:rowOff>24130</xdr:rowOff>
    </xdr:to>
    <xdr:sp macro="" textlink="" fLocksText="0">
      <xdr:nvSpPr>
        <xdr:cNvPr id="45" name="Rectangle 10">
          <a:extLst>
            <a:ext uri="{FF2B5EF4-FFF2-40B4-BE49-F238E27FC236}">
              <a16:creationId xmlns:a16="http://schemas.microsoft.com/office/drawing/2014/main" id="{DF8A24AD-E7F4-43E0-9A61-05541B4BCA87}"/>
            </a:ext>
          </a:extLst>
        </xdr:cNvPr>
        <xdr:cNvSpPr/>
      </xdr:nvSpPr>
      <xdr:spPr bwMode="gray">
        <a:xfrm>
          <a:off x="177800" y="350520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5765800</xdr:colOff>
      <xdr:row>19</xdr:row>
      <xdr:rowOff>107950</xdr:rowOff>
    </xdr:from>
    <xdr:to>
      <xdr:col>1</xdr:col>
      <xdr:colOff>5835650</xdr:colOff>
      <xdr:row>20</xdr:row>
      <xdr:rowOff>106680</xdr:rowOff>
    </xdr:to>
    <xdr:sp macro="" textlink="" fLocksText="0">
      <xdr:nvSpPr>
        <xdr:cNvPr id="46" name="Rectangle 11">
          <a:extLst>
            <a:ext uri="{FF2B5EF4-FFF2-40B4-BE49-F238E27FC236}">
              <a16:creationId xmlns:a16="http://schemas.microsoft.com/office/drawing/2014/main" id="{36990599-3942-48F4-A297-2FD68AEEB1A5}"/>
            </a:ext>
          </a:extLst>
        </xdr:cNvPr>
        <xdr:cNvSpPr/>
      </xdr:nvSpPr>
      <xdr:spPr bwMode="gray">
        <a:xfrm>
          <a:off x="5892800" y="39560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50800</xdr:colOff>
      <xdr:row>20</xdr:row>
      <xdr:rowOff>127000</xdr:rowOff>
    </xdr:from>
    <xdr:to>
      <xdr:col>1</xdr:col>
      <xdr:colOff>120650</xdr:colOff>
      <xdr:row>21</xdr:row>
      <xdr:rowOff>125730</xdr:rowOff>
    </xdr:to>
    <xdr:sp macro="" textlink="" fLocksText="0">
      <xdr:nvSpPr>
        <xdr:cNvPr id="47" name="Rectangle 12">
          <a:extLst>
            <a:ext uri="{FF2B5EF4-FFF2-40B4-BE49-F238E27FC236}">
              <a16:creationId xmlns:a16="http://schemas.microsoft.com/office/drawing/2014/main" id="{B2C65C8A-7FE0-4E68-88AF-406540847C76}"/>
            </a:ext>
          </a:extLst>
        </xdr:cNvPr>
        <xdr:cNvSpPr/>
      </xdr:nvSpPr>
      <xdr:spPr bwMode="gray">
        <a:xfrm>
          <a:off x="177800" y="41592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7670800</xdr:colOff>
      <xdr:row>21</xdr:row>
      <xdr:rowOff>146050</xdr:rowOff>
    </xdr:from>
    <xdr:to>
      <xdr:col>1</xdr:col>
      <xdr:colOff>7740650</xdr:colOff>
      <xdr:row>22</xdr:row>
      <xdr:rowOff>144780</xdr:rowOff>
    </xdr:to>
    <xdr:sp macro="" textlink="" fLocksText="0">
      <xdr:nvSpPr>
        <xdr:cNvPr id="48" name="Rectangle 13">
          <a:extLst>
            <a:ext uri="{FF2B5EF4-FFF2-40B4-BE49-F238E27FC236}">
              <a16:creationId xmlns:a16="http://schemas.microsoft.com/office/drawing/2014/main" id="{D1FC8926-1BD1-4309-AA32-12A7944468F7}"/>
            </a:ext>
          </a:extLst>
        </xdr:cNvPr>
        <xdr:cNvSpPr/>
      </xdr:nvSpPr>
      <xdr:spPr bwMode="gray">
        <a:xfrm>
          <a:off x="7797800" y="43624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2908300</xdr:colOff>
      <xdr:row>22</xdr:row>
      <xdr:rowOff>165100</xdr:rowOff>
    </xdr:from>
    <xdr:to>
      <xdr:col>1</xdr:col>
      <xdr:colOff>2978150</xdr:colOff>
      <xdr:row>23</xdr:row>
      <xdr:rowOff>163830</xdr:rowOff>
    </xdr:to>
    <xdr:sp macro="" textlink="" fLocksText="0">
      <xdr:nvSpPr>
        <xdr:cNvPr id="49" name="Rectangle 14">
          <a:extLst>
            <a:ext uri="{FF2B5EF4-FFF2-40B4-BE49-F238E27FC236}">
              <a16:creationId xmlns:a16="http://schemas.microsoft.com/office/drawing/2014/main" id="{35378932-CE03-4A71-838A-BA2D2D6AD9D8}"/>
            </a:ext>
          </a:extLst>
        </xdr:cNvPr>
        <xdr:cNvSpPr/>
      </xdr:nvSpPr>
      <xdr:spPr bwMode="gray">
        <a:xfrm>
          <a:off x="3035300" y="45656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1</xdr:col>
      <xdr:colOff>2717800</xdr:colOff>
      <xdr:row>24</xdr:row>
      <xdr:rowOff>0</xdr:rowOff>
    </xdr:from>
    <xdr:to>
      <xdr:col>1</xdr:col>
      <xdr:colOff>2787650</xdr:colOff>
      <xdr:row>24</xdr:row>
      <xdr:rowOff>182880</xdr:rowOff>
    </xdr:to>
    <xdr:sp macro="" textlink="" fLocksText="0">
      <xdr:nvSpPr>
        <xdr:cNvPr id="50" name="Rectangle 15">
          <a:extLst>
            <a:ext uri="{FF2B5EF4-FFF2-40B4-BE49-F238E27FC236}">
              <a16:creationId xmlns:a16="http://schemas.microsoft.com/office/drawing/2014/main" id="{FF1253DE-F9C7-4903-B599-996378A1010A}"/>
            </a:ext>
          </a:extLst>
        </xdr:cNvPr>
        <xdr:cNvSpPr/>
      </xdr:nvSpPr>
      <xdr:spPr bwMode="gray">
        <a:xfrm>
          <a:off x="2844800" y="4768850"/>
          <a:ext cx="69850" cy="182880"/>
        </a:xfrm>
        <a:prstGeom prst="rect">
          <a:avLst/>
        </a:prstGeom>
        <a:solidFill>
          <a:srgbClr val="BDBDBD">
            <a:alpha val="85000"/>
          </a:srgbClr>
        </a:solidFill>
        <a:ln w="12700" cap="flat" cmpd="sng" algn="ctr">
          <a:solidFill>
            <a:srgbClr val="BDBDBD"/>
          </a:solidFill>
          <a:prstDash val="solid"/>
          <a:round/>
          <a:headEnd type="none" w="med" len="med"/>
          <a:tailEnd type="none" w="med" len="med"/>
        </a:ln>
        <a:effectLst/>
      </xdr:spPr>
      <xdr:txBody>
        <a:bodyPr vert="horz" wrap="square" lIns="91440" tIns="45720" rIns="91440" bIns="45720" numCol="1" rtlCol="0" anchor="ctr" anchorCtr="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indent="0" algn="ctr" defTabSz="914400" rtl="0" eaLnBrk="0" fontAlgn="base" latinLnBrk="0" hangingPunct="0">
            <a:lnSpc>
              <a:spcPct val="100000"/>
            </a:lnSpc>
            <a:spcBef>
              <a:spcPct val="50000"/>
            </a:spcBef>
            <a:spcAft>
              <a:spcPct val="0"/>
            </a:spcAft>
            <a:buClrTx/>
            <a:buSzTx/>
            <a:buFontTx/>
            <a:buNone/>
            <a:tabLst/>
          </a:pPr>
          <a:endParaRPr kumimoji="0" lang="en-US" sz="1200" b="0" i="0" u="none" strike="noStrike" cap="none" normalizeH="0" baseline="0">
            <a:ln>
              <a:noFill/>
            </a:ln>
            <a:solidFill>
              <a:schemeClr val="bg1"/>
            </a:solidFill>
            <a:effectLst/>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9B511-30FD-43F5-BD7E-6C62CAFE4DE3}">
  <sheetPr codeName="Sheet7">
    <tabColor theme="9" tint="0.79998168889431442"/>
  </sheetPr>
  <dimension ref="A1:B15"/>
  <sheetViews>
    <sheetView showGridLines="0" showRowColHeaders="0" tabSelected="1" workbookViewId="0"/>
  </sheetViews>
  <sheetFormatPr defaultRowHeight="14.5"/>
  <cols>
    <col min="1" max="1" width="25" customWidth="1"/>
    <col min="2" max="2" width="122.36328125" customWidth="1"/>
  </cols>
  <sheetData>
    <row r="1" spans="1:2" ht="29">
      <c r="A1" s="24" t="s">
        <v>64</v>
      </c>
      <c r="B1" s="21" t="s">
        <v>85</v>
      </c>
    </row>
    <row r="2" spans="1:2" ht="49" customHeight="1">
      <c r="A2" s="24" t="s">
        <v>65</v>
      </c>
      <c r="B2" s="21" t="s">
        <v>84</v>
      </c>
    </row>
    <row r="3" spans="1:2">
      <c r="A3" s="24" t="s">
        <v>66</v>
      </c>
      <c r="B3" s="21" t="s">
        <v>67</v>
      </c>
    </row>
    <row r="4" spans="1:2">
      <c r="A4" s="24" t="s">
        <v>68</v>
      </c>
      <c r="B4" s="21" t="s">
        <v>69</v>
      </c>
    </row>
    <row r="5" spans="1:2" ht="29">
      <c r="A5" s="24" t="s">
        <v>71</v>
      </c>
      <c r="B5" s="21" t="s">
        <v>70</v>
      </c>
    </row>
    <row r="6" spans="1:2" ht="23.5" customHeight="1">
      <c r="A6" s="24" t="s">
        <v>73</v>
      </c>
      <c r="B6" s="21" t="s">
        <v>72</v>
      </c>
    </row>
    <row r="7" spans="1:2" ht="36" customHeight="1">
      <c r="A7" s="24" t="s">
        <v>86</v>
      </c>
      <c r="B7" s="21" t="s">
        <v>74</v>
      </c>
    </row>
    <row r="8" spans="1:2" ht="43.5">
      <c r="A8" s="25" t="s">
        <v>82</v>
      </c>
      <c r="B8" s="21" t="s">
        <v>75</v>
      </c>
    </row>
    <row r="9" spans="1:2" ht="58">
      <c r="A9" s="24" t="s">
        <v>76</v>
      </c>
      <c r="B9" s="21" t="s">
        <v>77</v>
      </c>
    </row>
    <row r="10" spans="1:2" ht="29">
      <c r="A10" s="25" t="s">
        <v>79</v>
      </c>
      <c r="B10" s="21" t="s">
        <v>78</v>
      </c>
    </row>
    <row r="11" spans="1:2" ht="29">
      <c r="A11" s="24" t="s">
        <v>81</v>
      </c>
      <c r="B11" s="21" t="s">
        <v>80</v>
      </c>
    </row>
    <row r="12" spans="1:2" ht="72.5">
      <c r="A12" s="24" t="s">
        <v>83</v>
      </c>
      <c r="B12" s="21" t="s">
        <v>87</v>
      </c>
    </row>
    <row r="13" spans="1:2">
      <c r="A13" s="23"/>
      <c r="B13" s="22"/>
    </row>
    <row r="14" spans="1:2">
      <c r="A14" s="23"/>
      <c r="B14" s="22"/>
    </row>
    <row r="15" spans="1:2">
      <c r="A15" s="23"/>
      <c r="B15" s="22"/>
    </row>
  </sheetData>
  <sheetProtection algorithmName="SHA-512" hashValue="McwVEyPBH8HLFhk1q3SM0uTpNfUYCZKLOFZmNh6o5bZVmI2dIq7juG+Mijx+9Ghxo+a+6EW1nqjOteT9fispYA==" saltValue="xnTt60mXI3SZ/P/oa4elMQ=="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1093-54BF-453B-BCD2-DFC1B05BB81F}">
  <sheetPr codeName="Sheet4">
    <tabColor theme="3" tint="0.749992370372631"/>
  </sheetPr>
  <dimension ref="A1:D31"/>
  <sheetViews>
    <sheetView showGridLines="0" showRowColHeaders="0" workbookViewId="0">
      <selection sqref="A1:B1"/>
    </sheetView>
  </sheetViews>
  <sheetFormatPr defaultRowHeight="14.5"/>
  <cols>
    <col min="1" max="1" width="106.26953125" style="33" customWidth="1"/>
    <col min="2" max="2" width="14.1796875" style="33" customWidth="1"/>
    <col min="3" max="3" width="24.1796875" style="33" customWidth="1"/>
    <col min="4" max="4" width="20.7265625" style="33" customWidth="1"/>
    <col min="5" max="16384" width="8.7265625" style="33"/>
  </cols>
  <sheetData>
    <row r="1" spans="1:4" ht="38" customHeight="1">
      <c r="A1" s="31" t="s">
        <v>53</v>
      </c>
      <c r="B1" s="32"/>
    </row>
    <row r="2" spans="1:4" ht="32.5" customHeight="1">
      <c r="A2" s="34" t="s">
        <v>27</v>
      </c>
      <c r="B2" s="34" t="s">
        <v>32</v>
      </c>
    </row>
    <row r="3" spans="1:4" ht="16" customHeight="1">
      <c r="A3" s="35" t="s">
        <v>52</v>
      </c>
      <c r="B3" s="20" t="s">
        <v>23</v>
      </c>
    </row>
    <row r="4" spans="1:4">
      <c r="A4" s="35" t="s">
        <v>48</v>
      </c>
      <c r="B4" s="20" t="s">
        <v>20</v>
      </c>
    </row>
    <row r="5" spans="1:4">
      <c r="A5" s="35" t="s">
        <v>61</v>
      </c>
      <c r="B5" s="20" t="s">
        <v>23</v>
      </c>
    </row>
    <row r="6" spans="1:4" ht="15" customHeight="1">
      <c r="A6" s="35" t="s">
        <v>57</v>
      </c>
      <c r="B6" s="20" t="s">
        <v>20</v>
      </c>
    </row>
    <row r="7" spans="1:4" ht="14.5" customHeight="1">
      <c r="A7" s="35" t="s">
        <v>58</v>
      </c>
      <c r="B7" s="20" t="s">
        <v>23</v>
      </c>
    </row>
    <row r="8" spans="1:4" ht="29">
      <c r="A8" s="35" t="s">
        <v>50</v>
      </c>
      <c r="B8" s="20" t="s">
        <v>20</v>
      </c>
    </row>
    <row r="9" spans="1:4" ht="84" customHeight="1">
      <c r="A9" s="36"/>
      <c r="B9" s="37" t="s">
        <v>30</v>
      </c>
      <c r="C9" s="38" t="s">
        <v>29</v>
      </c>
      <c r="D9" s="38" t="s">
        <v>36</v>
      </c>
    </row>
    <row r="10" spans="1:4" ht="29">
      <c r="A10" s="39" t="s">
        <v>54</v>
      </c>
      <c r="B10" s="39"/>
      <c r="C10" s="40"/>
      <c r="D10" s="40"/>
    </row>
    <row r="11" spans="1:4">
      <c r="A11" s="41" t="s">
        <v>4</v>
      </c>
      <c r="B11" s="38" t="s">
        <v>6</v>
      </c>
      <c r="C11" s="20">
        <v>2</v>
      </c>
      <c r="D11" s="20" t="s">
        <v>2</v>
      </c>
    </row>
    <row r="12" spans="1:4">
      <c r="A12" s="41" t="s">
        <v>5</v>
      </c>
      <c r="B12" s="38" t="s">
        <v>12</v>
      </c>
      <c r="C12" s="20">
        <v>2</v>
      </c>
      <c r="D12" s="20" t="s">
        <v>1</v>
      </c>
    </row>
    <row r="13" spans="1:4">
      <c r="A13" s="41" t="s">
        <v>33</v>
      </c>
      <c r="B13" s="38" t="s">
        <v>8</v>
      </c>
      <c r="C13" s="20">
        <v>3</v>
      </c>
      <c r="D13" s="20" t="s">
        <v>14</v>
      </c>
    </row>
    <row r="14" spans="1:4">
      <c r="A14" s="41" t="s">
        <v>37</v>
      </c>
      <c r="B14" s="38" t="s">
        <v>6</v>
      </c>
      <c r="C14" s="20">
        <v>4</v>
      </c>
      <c r="D14" s="20" t="s">
        <v>2</v>
      </c>
    </row>
    <row r="15" spans="1:4">
      <c r="A15" s="41" t="s">
        <v>47</v>
      </c>
      <c r="B15" s="38" t="s">
        <v>7</v>
      </c>
      <c r="C15" s="20">
        <v>5</v>
      </c>
      <c r="D15" s="20" t="s">
        <v>14</v>
      </c>
    </row>
    <row r="16" spans="1:4" ht="43.5">
      <c r="A16" s="39" t="s">
        <v>55</v>
      </c>
      <c r="B16" s="39"/>
      <c r="C16" s="40"/>
      <c r="D16" s="40"/>
    </row>
    <row r="17" spans="1:4" ht="17.5" customHeight="1">
      <c r="A17" s="41" t="s">
        <v>38</v>
      </c>
      <c r="B17" s="38" t="s">
        <v>11</v>
      </c>
      <c r="C17" s="20">
        <v>2</v>
      </c>
      <c r="D17" s="20" t="s">
        <v>2</v>
      </c>
    </row>
    <row r="18" spans="1:4" ht="28" customHeight="1">
      <c r="A18" s="41" t="s">
        <v>34</v>
      </c>
      <c r="B18" s="38" t="s">
        <v>9</v>
      </c>
      <c r="C18" s="20">
        <v>4</v>
      </c>
      <c r="D18" s="20" t="s">
        <v>1</v>
      </c>
    </row>
    <row r="19" spans="1:4" ht="17.5" customHeight="1">
      <c r="A19" s="41" t="s">
        <v>39</v>
      </c>
      <c r="B19" s="38" t="s">
        <v>6</v>
      </c>
      <c r="C19" s="20">
        <v>1</v>
      </c>
      <c r="D19" s="20" t="s">
        <v>2</v>
      </c>
    </row>
    <row r="20" spans="1:4" ht="13.5" customHeight="1">
      <c r="A20" s="41" t="s">
        <v>62</v>
      </c>
      <c r="B20" s="38" t="s">
        <v>10</v>
      </c>
      <c r="C20" s="20">
        <v>3</v>
      </c>
      <c r="D20" s="20" t="s">
        <v>14</v>
      </c>
    </row>
    <row r="21" spans="1:4" ht="26.5" customHeight="1">
      <c r="A21" s="41" t="s">
        <v>35</v>
      </c>
      <c r="B21" s="38" t="s">
        <v>10</v>
      </c>
      <c r="C21" s="20">
        <v>2</v>
      </c>
      <c r="D21" s="20" t="s">
        <v>2</v>
      </c>
    </row>
    <row r="22" spans="1:4">
      <c r="A22" s="41" t="s">
        <v>49</v>
      </c>
      <c r="B22" s="38" t="s">
        <v>11</v>
      </c>
      <c r="C22" s="20">
        <v>4</v>
      </c>
      <c r="D22" s="20" t="s">
        <v>14</v>
      </c>
    </row>
    <row r="23" spans="1:4" ht="29" customHeight="1">
      <c r="A23" s="39" t="s">
        <v>56</v>
      </c>
      <c r="B23" s="39"/>
      <c r="C23" s="40"/>
      <c r="D23" s="40"/>
    </row>
    <row r="24" spans="1:4" ht="19.5" customHeight="1">
      <c r="A24" s="41" t="s">
        <v>40</v>
      </c>
      <c r="B24" s="38" t="s">
        <v>13</v>
      </c>
      <c r="C24" s="20">
        <v>1</v>
      </c>
      <c r="D24" s="20" t="s">
        <v>14</v>
      </c>
    </row>
    <row r="25" spans="1:4" ht="18" customHeight="1">
      <c r="A25" s="41" t="s">
        <v>41</v>
      </c>
      <c r="B25" s="38" t="s">
        <v>12</v>
      </c>
      <c r="C25" s="20">
        <v>3</v>
      </c>
      <c r="D25" s="20" t="s">
        <v>1</v>
      </c>
    </row>
    <row r="26" spans="1:4" ht="31.5" customHeight="1">
      <c r="A26" s="41" t="s">
        <v>42</v>
      </c>
      <c r="B26" s="38" t="s">
        <v>9</v>
      </c>
      <c r="C26" s="20">
        <v>4</v>
      </c>
      <c r="D26" s="20" t="s">
        <v>2</v>
      </c>
    </row>
    <row r="27" spans="1:4" ht="15.5" customHeight="1">
      <c r="A27" s="41" t="s">
        <v>43</v>
      </c>
      <c r="B27" s="38" t="s">
        <v>11</v>
      </c>
      <c r="C27" s="20">
        <v>5</v>
      </c>
      <c r="D27" s="20" t="s">
        <v>1</v>
      </c>
    </row>
    <row r="28" spans="1:4" ht="29">
      <c r="A28" s="41" t="s">
        <v>44</v>
      </c>
      <c r="B28" s="38" t="s">
        <v>6</v>
      </c>
      <c r="C28" s="20">
        <v>3</v>
      </c>
      <c r="D28" s="20" t="s">
        <v>14</v>
      </c>
    </row>
    <row r="29" spans="1:4" ht="29">
      <c r="A29" s="41" t="s">
        <v>63</v>
      </c>
      <c r="B29" s="38" t="s">
        <v>6</v>
      </c>
      <c r="C29" s="20">
        <v>2</v>
      </c>
      <c r="D29" s="20" t="s">
        <v>2</v>
      </c>
    </row>
    <row r="30" spans="1:4" ht="17" customHeight="1">
      <c r="A30" s="41" t="s">
        <v>45</v>
      </c>
      <c r="B30" s="38" t="s">
        <v>12</v>
      </c>
      <c r="C30" s="20">
        <v>1</v>
      </c>
      <c r="D30" s="20" t="s">
        <v>1</v>
      </c>
    </row>
    <row r="31" spans="1:4" ht="17.5" customHeight="1">
      <c r="A31" s="41" t="s">
        <v>46</v>
      </c>
      <c r="B31" s="38" t="s">
        <v>12</v>
      </c>
      <c r="C31" s="20">
        <v>4</v>
      </c>
      <c r="D31" s="20" t="s">
        <v>2</v>
      </c>
    </row>
  </sheetData>
  <sheetProtection algorithmName="SHA-512" hashValue="5OduTIHzEnP+BukAh+pzyxhWx4n8YvdiQBetcfBuhuTSYMdbkbTIpoqHWC+duAKpht2fxseO24lSuqyDuYhxag==" saltValue="VbUiXZHUH0TRJbC/xM6cdA==" spinCount="100000" sheet="1" objects="1" scenarios="1"/>
  <mergeCells count="1">
    <mergeCell ref="A1:B1"/>
  </mergeCells>
  <dataValidations count="3">
    <dataValidation type="list" allowBlank="1" showInputMessage="1" showErrorMessage="1" sqref="B3:B8" xr:uid="{F905A8DC-A396-4E05-B22E-F34073237D6E}">
      <formula1>"Yes,No"</formula1>
    </dataValidation>
    <dataValidation type="list" allowBlank="1" showInputMessage="1" showErrorMessage="1" sqref="D11:D15 D17:D22 D24:D31" xr:uid="{8A01216E-A4D1-4898-9E49-9F7DE9407830}">
      <formula1>"Critical,Important,Manageable"</formula1>
    </dataValidation>
    <dataValidation type="list" allowBlank="1" showInputMessage="1" showErrorMessage="1" sqref="C11:C15 C17:C22 C24:C31" xr:uid="{44BE911B-7E5C-4E7D-880C-9E3110C1C8D7}">
      <formula1>"1,2,3,4,5"</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4EA6C-8AA9-42BE-A5B7-F691F72EC8C7}">
  <sheetPr codeName="Sheet6">
    <tabColor rgb="FFFF0000"/>
  </sheetPr>
  <dimension ref="A1:H26"/>
  <sheetViews>
    <sheetView showGridLines="0" showRowColHeaders="0" zoomScale="95" zoomScaleNormal="95" workbookViewId="0"/>
  </sheetViews>
  <sheetFormatPr defaultRowHeight="14.5"/>
  <cols>
    <col min="1" max="1" width="1.81640625" customWidth="1"/>
    <col min="2" max="2" width="112.1796875" customWidth="1"/>
    <col min="3" max="3" width="1" customWidth="1"/>
    <col min="4" max="4" width="2.6328125" customWidth="1"/>
    <col min="5" max="5" width="17" customWidth="1"/>
    <col min="6" max="6" width="12.26953125" customWidth="1"/>
    <col min="7" max="7" width="10.7265625" customWidth="1"/>
    <col min="8" max="8" width="10" customWidth="1"/>
  </cols>
  <sheetData>
    <row r="1" spans="1:8" ht="20">
      <c r="A1" s="2"/>
      <c r="B1" s="26" t="s">
        <v>31</v>
      </c>
      <c r="C1" s="27"/>
      <c r="D1" s="27"/>
      <c r="E1" s="27"/>
      <c r="F1" s="27"/>
      <c r="G1" s="27"/>
      <c r="H1" s="27"/>
    </row>
    <row r="2" spans="1:8" ht="20">
      <c r="A2" s="2"/>
      <c r="B2" s="19"/>
      <c r="C2" s="1"/>
      <c r="D2" s="1"/>
      <c r="E2" s="1"/>
      <c r="F2" s="1"/>
      <c r="G2" s="1"/>
      <c r="H2" s="1"/>
    </row>
    <row r="3" spans="1:8" ht="20">
      <c r="A3" s="2"/>
      <c r="B3" s="19"/>
      <c r="C3" s="1"/>
      <c r="D3" s="1"/>
      <c r="E3" s="1"/>
      <c r="F3" s="1"/>
      <c r="G3" s="1"/>
      <c r="H3" s="1"/>
    </row>
    <row r="4" spans="1:8" ht="20">
      <c r="A4" s="2"/>
      <c r="B4" s="19"/>
      <c r="C4" s="1"/>
      <c r="D4" s="1"/>
      <c r="E4" s="1"/>
      <c r="F4" s="1"/>
      <c r="G4" s="1"/>
      <c r="H4" s="1"/>
    </row>
    <row r="5" spans="1:8" ht="20">
      <c r="A5" s="2"/>
      <c r="B5" s="19"/>
      <c r="C5" s="1"/>
      <c r="D5" s="1"/>
      <c r="E5" s="1"/>
      <c r="F5" s="1"/>
      <c r="G5" s="1"/>
      <c r="H5" s="1"/>
    </row>
    <row r="7" spans="1:8">
      <c r="F7" s="28" t="s">
        <v>19</v>
      </c>
      <c r="G7" s="29"/>
      <c r="H7" s="30"/>
    </row>
    <row r="8" spans="1:8">
      <c r="F8" s="3" t="s">
        <v>14</v>
      </c>
      <c r="G8" s="3" t="s">
        <v>2</v>
      </c>
      <c r="H8" s="3" t="s">
        <v>1</v>
      </c>
    </row>
    <row r="9" spans="1:8">
      <c r="E9" s="15" t="s">
        <v>21</v>
      </c>
    </row>
    <row r="10" spans="1:8">
      <c r="E10" s="16" t="s">
        <v>9</v>
      </c>
      <c r="F10" s="3" t="str">
        <f>IF(ISERROR(SUMIFS(Hide!$F$8:$F$20, Hide!$B$8:$B$20,$E10, Hide!$D$8:$D$20, F$8)/SUMIFS(Hide!$E$8:$E$20, Hide!$B$8:$B$20,$E10, Hide!$D$8:$D$20, F$8)), "None", ROUND(SUMIFS(Hide!$F$8:$F$20, Hide!$B$8:$B$20,$E10, Hide!$D$8:$D$20, F$8)/SUMIFS(Hide!$E$8:$E$20, Hide!$B$8:$B$20,$E10, Hide!$D$8:$D$20, F$8), 2))</f>
        <v>None</v>
      </c>
      <c r="G10" s="3" t="str">
        <f>IF(ISERROR(SUMIFS(Hide!$F$8:$F$20, Hide!$B$8:$B$20,$E10, Hide!$D$8:$D$20, G$8)/SUMIFS(Hide!$E$8:$E$20, Hide!$B$8:$B$20,$E10, Hide!$D$8:$D$20, G$8)), "None", ROUND(SUMIFS(Hide!$F$8:$F$20, Hide!$B$8:$B$20,$E10, Hide!$D$8:$D$20, G$8)/SUMIFS(Hide!$E$8:$E$20, Hide!$B$8:$B$20,$E10, Hide!$D$8:$D$20, G$8), 2))</f>
        <v>None</v>
      </c>
      <c r="H10" s="3">
        <f>IF(ISERROR(SUMIFS(Hide!$F$8:$F$20, Hide!$B$8:$B$20,$E10, Hide!$D$8:$D$20, H$8)/SUMIFS(Hide!$E$8:$E$20, Hide!$B$8:$B$20,$E10, Hide!$D$8:$D$20, H$8)), "None", ROUND(SUMIFS(Hide!$F$8:$F$20, Hide!$B$8:$B$20,$E10, Hide!$D$8:$D$20, H$8)/SUMIFS(Hide!$E$8:$E$20, Hide!$B$8:$B$20,$E10, Hide!$D$8:$D$20, H$8), 2))</f>
        <v>4</v>
      </c>
    </row>
    <row r="11" spans="1:8">
      <c r="E11" s="16" t="s">
        <v>7</v>
      </c>
      <c r="F11" s="3">
        <f>IF(ISERROR(SUMIFS(Hide!$F$8:$F$20, Hide!$B$8:$B$20,$E11, Hide!$D$8:$D$20, F$8)/SUMIFS(Hide!$E$8:$E$20, Hide!$B$8:$B$20,$E11, Hide!$D$8:$D$20, F$8)), "None", ROUND(SUMIFS(Hide!$F$8:$F$20, Hide!$B$8:$B$20,$E11, Hide!$D$8:$D$20, F$8)/SUMIFS(Hide!$E$8:$E$20, Hide!$B$8:$B$20,$E11, Hide!$D$8:$D$20, F$8), 2))</f>
        <v>5</v>
      </c>
      <c r="G11" s="3" t="str">
        <f>IF(ISERROR(SUMIFS(Hide!$F$8:$F$20, Hide!$B$8:$B$20,$E11, Hide!$D$8:$D$20, G$8)/SUMIFS(Hide!$E$8:$E$20, Hide!$B$8:$B$20,$E11, Hide!$D$8:$D$20, G$8)), "None", ROUND(SUMIFS(Hide!$F$8:$F$20, Hide!$B$8:$B$20,$E11, Hide!$D$8:$D$20, G$8)/SUMIFS(Hide!$E$8:$E$20, Hide!$B$8:$B$20,$E11, Hide!$D$8:$D$20, G$8), 2))</f>
        <v>None</v>
      </c>
      <c r="H11" s="3" t="str">
        <f>IF(ISERROR(SUMIFS(Hide!$F$8:$F$20, Hide!$B$8:$B$20,$E11, Hide!$D$8:$D$20, H$8)/SUMIFS(Hide!$E$8:$E$20, Hide!$B$8:$B$20,$E11, Hide!$D$8:$D$20, H$8)), "None", ROUND(SUMIFS(Hide!$F$8:$F$20, Hide!$B$8:$B$20,$E11, Hide!$D$8:$D$20, H$8)/SUMIFS(Hide!$E$8:$E$20, Hide!$B$8:$B$20,$E11, Hide!$D$8:$D$20, H$8), 2))</f>
        <v>None</v>
      </c>
    </row>
    <row r="12" spans="1:8">
      <c r="E12" s="17" t="s">
        <v>11</v>
      </c>
      <c r="F12" s="3">
        <f>IF(ISERROR(SUMIFS(Hide!$F$8:$F$20, Hide!$B$8:$B$20,$E12, Hide!$D$8:$D$20, F$8)/SUMIFS(Hide!$E$8:$E$20, Hide!$B$8:$B$20,$E12, Hide!$D$8:$D$20, F$8)), "None", ROUND(SUMIFS(Hide!$F$8:$F$20, Hide!$B$8:$B$20,$E12, Hide!$D$8:$D$20, F$8)/SUMIFS(Hide!$E$8:$E$20, Hide!$B$8:$B$20,$E12, Hide!$D$8:$D$20, F$8), 2))</f>
        <v>4</v>
      </c>
      <c r="G12" s="3">
        <f>IF(ISERROR(SUMIFS(Hide!$F$8:$F$20, Hide!$B$8:$B$20,$E12, Hide!$D$8:$D$20, G$8)/SUMIFS(Hide!$E$8:$E$20, Hide!$B$8:$B$20,$E12, Hide!$D$8:$D$20, G$8)), "None", ROUND(SUMIFS(Hide!$F$8:$F$20, Hide!$B$8:$B$20,$E12, Hide!$D$8:$D$20, G$8)/SUMIFS(Hide!$E$8:$E$20, Hide!$B$8:$B$20,$E12, Hide!$D$8:$D$20, G$8), 2))</f>
        <v>2</v>
      </c>
      <c r="H12" s="3" t="str">
        <f>IF(ISERROR(SUMIFS(Hide!$F$8:$F$20, Hide!$B$8:$B$20,$E12, Hide!$D$8:$D$20, H$8)/SUMIFS(Hide!$E$8:$E$20, Hide!$B$8:$B$20,$E12, Hide!$D$8:$D$20, H$8)), "None", ROUND(SUMIFS(Hide!$F$8:$F$20, Hide!$B$8:$B$20,$E12, Hide!$D$8:$D$20, H$8)/SUMIFS(Hide!$E$8:$E$20, Hide!$B$8:$B$20,$E12, Hide!$D$8:$D$20, H$8), 2))</f>
        <v>None</v>
      </c>
    </row>
    <row r="13" spans="1:8">
      <c r="E13" s="16" t="s">
        <v>10</v>
      </c>
      <c r="F13" s="3">
        <f>IF(ISERROR(SUMIFS(Hide!$F$8:$F$20, Hide!$B$8:$B$20,$E13, Hide!$D$8:$D$20, F$8)/SUMIFS(Hide!$E$8:$E$20, Hide!$B$8:$B$20,$E13, Hide!$D$8:$D$20, F$8)), "None", ROUND(SUMIFS(Hide!$F$8:$F$20, Hide!$B$8:$B$20,$E13, Hide!$D$8:$D$20, F$8)/SUMIFS(Hide!$E$8:$E$20, Hide!$B$8:$B$20,$E13, Hide!$D$8:$D$20, F$8), 2))</f>
        <v>3</v>
      </c>
      <c r="G13" s="3">
        <f>IF(ISERROR(SUMIFS(Hide!$F$8:$F$20, Hide!$B$8:$B$20,$E13, Hide!$D$8:$D$20, G$8)/SUMIFS(Hide!$E$8:$E$20, Hide!$B$8:$B$20,$E13, Hide!$D$8:$D$20, G$8)), "None", ROUND(SUMIFS(Hide!$F$8:$F$20, Hide!$B$8:$B$20,$E13, Hide!$D$8:$D$20, G$8)/SUMIFS(Hide!$E$8:$E$20, Hide!$B$8:$B$20,$E13, Hide!$D$8:$D$20, G$8), 2))</f>
        <v>2</v>
      </c>
      <c r="H13" s="3" t="str">
        <f>IF(ISERROR(SUMIFS(Hide!$F$8:$F$20, Hide!$B$8:$B$20,$E13, Hide!$D$8:$D$20, H$8)/SUMIFS(Hide!$E$8:$E$20, Hide!$B$8:$B$20,$E13, Hide!$D$8:$D$20, H$8)), "None", ROUND(SUMIFS(Hide!$F$8:$F$20, Hide!$B$8:$B$20,$E13, Hide!$D$8:$D$20, H$8)/SUMIFS(Hide!$E$8:$E$20, Hide!$B$8:$B$20,$E13, Hide!$D$8:$D$20, H$8), 2))</f>
        <v>None</v>
      </c>
    </row>
    <row r="14" spans="1:8">
      <c r="E14" s="16" t="s">
        <v>12</v>
      </c>
      <c r="F14" s="3" t="str">
        <f>IF(ISERROR(SUMIFS(Hide!$F$8:$F$20, Hide!$B$8:$B$20,$E14, Hide!$D$8:$D$20, F$8)/SUMIFS(Hide!$E$8:$E$20, Hide!$B$8:$B$20,$E14, Hide!$D$8:$D$20, F$8)), "None", ROUND(SUMIFS(Hide!$F$8:$F$20, Hide!$B$8:$B$20,$E14, Hide!$D$8:$D$20, F$8)/SUMIFS(Hide!$E$8:$E$20, Hide!$B$8:$B$20,$E14, Hide!$D$8:$D$20, F$8), 2))</f>
        <v>None</v>
      </c>
      <c r="G14" s="3" t="str">
        <f>IF(ISERROR(SUMIFS(Hide!$F$8:$F$20, Hide!$B$8:$B$20,$E14, Hide!$D$8:$D$20, G$8)/SUMIFS(Hide!$E$8:$E$20, Hide!$B$8:$B$20,$E14, Hide!$D$8:$D$20, G$8)), "None", ROUND(SUMIFS(Hide!$F$8:$F$20, Hide!$B$8:$B$20,$E14, Hide!$D$8:$D$20, G$8)/SUMIFS(Hide!$E$8:$E$20, Hide!$B$8:$B$20,$E14, Hide!$D$8:$D$20, G$8), 2))</f>
        <v>None</v>
      </c>
      <c r="H14" s="3">
        <f>IF(ISERROR(SUMIFS(Hide!$F$8:$F$20, Hide!$B$8:$B$20,$E14, Hide!$D$8:$D$20, H$8)/SUMIFS(Hide!$E$8:$E$20, Hide!$B$8:$B$20,$E14, Hide!$D$8:$D$20, H$8)), "None", ROUND(SUMIFS(Hide!$F$8:$F$20, Hide!$B$8:$B$20,$E14, Hide!$D$8:$D$20, H$8)/SUMIFS(Hide!$E$8:$E$20, Hide!$B$8:$B$20,$E14, Hide!$D$8:$D$20, H$8), 2))</f>
        <v>2</v>
      </c>
    </row>
    <row r="15" spans="1:8">
      <c r="E15" s="16" t="s">
        <v>6</v>
      </c>
      <c r="F15" s="3" t="str">
        <f>IF(ISERROR(SUMIFS(Hide!$F$8:$F$20, Hide!$B$8:$B$20,$E15, Hide!$D$8:$D$20, F$8)/SUMIFS(Hide!$E$8:$E$20, Hide!$B$8:$B$20,$E15, Hide!$D$8:$D$20, F$8)), "None", ROUND(SUMIFS(Hide!$F$8:$F$20, Hide!$B$8:$B$20,$E15, Hide!$D$8:$D$20, F$8)/SUMIFS(Hide!$E$8:$E$20, Hide!$B$8:$B$20,$E15, Hide!$D$8:$D$20, F$8), 2))</f>
        <v>None</v>
      </c>
      <c r="G15" s="3">
        <f>IF(ISERROR(SUMIFS(Hide!$F$8:$F$20, Hide!$B$8:$B$20,$E15, Hide!$D$8:$D$20, G$8)/SUMIFS(Hide!$E$8:$E$20, Hide!$B$8:$B$20,$E15, Hide!$D$8:$D$20, G$8)), "None", ROUND(SUMIFS(Hide!$F$8:$F$20, Hide!$B$8:$B$20,$E15, Hide!$D$8:$D$20, G$8)/SUMIFS(Hide!$E$8:$E$20, Hide!$B$8:$B$20,$E15, Hide!$D$8:$D$20, G$8), 2))</f>
        <v>2.33</v>
      </c>
      <c r="H15" s="3" t="str">
        <f>IF(ISERROR(SUMIFS(Hide!$F$8:$F$20, Hide!$B$8:$B$20,$E15, Hide!$D$8:$D$20, H$8)/SUMIFS(Hide!$E$8:$E$20, Hide!$B$8:$B$20,$E15, Hide!$D$8:$D$20, H$8)), "None", ROUND(SUMIFS(Hide!$F$8:$F$20, Hide!$B$8:$B$20,$E15, Hide!$D$8:$D$20, H$8)/SUMIFS(Hide!$E$8:$E$20, Hide!$B$8:$B$20,$E15, Hide!$D$8:$D$20, H$8), 2))</f>
        <v>None</v>
      </c>
    </row>
    <row r="16" spans="1:8">
      <c r="E16" s="16" t="s">
        <v>8</v>
      </c>
      <c r="F16" s="3">
        <f>IF(ISERROR(SUMIFS(Hide!$F$8:$F$20, Hide!$B$8:$B$20,$E16, Hide!$D$8:$D$20, F$8)/SUMIFS(Hide!$E$8:$E$20, Hide!$B$8:$B$20,$E16, Hide!$D$8:$D$20, F$8)), "None", ROUND(SUMIFS(Hide!$F$8:$F$20, Hide!$B$8:$B$20,$E16, Hide!$D$8:$D$20, F$8)/SUMIFS(Hide!$E$8:$E$20, Hide!$B$8:$B$20,$E16, Hide!$D$8:$D$20, F$8), 2))</f>
        <v>3</v>
      </c>
      <c r="G16" s="3" t="str">
        <f>IF(ISERROR(SUMIFS(Hide!$F$8:$F$20, Hide!$B$8:$B$20,$E16, Hide!$D$8:$D$20, G$8)/SUMIFS(Hide!$E$8:$E$20, Hide!$B$8:$B$20,$E16, Hide!$D$8:$D$20, G$8)), "None", ROUND(SUMIFS(Hide!$F$8:$F$20, Hide!$B$8:$B$20,$E16, Hide!$D$8:$D$20, G$8)/SUMIFS(Hide!$E$8:$E$20, Hide!$B$8:$B$20,$E16, Hide!$D$8:$D$20, G$8), 2))</f>
        <v>None</v>
      </c>
      <c r="H16" s="3" t="str">
        <f>IF(ISERROR(SUMIFS(Hide!$F$8:$F$20, Hide!$B$8:$B$20,$E16, Hide!$D$8:$D$20, H$8)/SUMIFS(Hide!$E$8:$E$20, Hide!$B$8:$B$20,$E16, Hide!$D$8:$D$20, H$8)), "None", ROUND(SUMIFS(Hide!$F$8:$F$20, Hide!$B$8:$B$20,$E16, Hide!$D$8:$D$20, H$8)/SUMIFS(Hide!$E$8:$E$20, Hide!$B$8:$B$20,$E16, Hide!$D$8:$D$20, H$8), 2))</f>
        <v>None</v>
      </c>
    </row>
    <row r="17" spans="5:8">
      <c r="E17" s="18" t="s">
        <v>18</v>
      </c>
      <c r="F17" s="3">
        <f>IF(ISERROR(ROUND(AVERAGE(F10:F16),2)),"None",ROUND(AVERAGE(F10:F16),2))</f>
        <v>3.75</v>
      </c>
      <c r="G17" s="3">
        <f t="shared" ref="G17:H17" si="0">IF(ISERROR(ROUND(AVERAGE(G10:G16),2)),"None",ROUND(AVERAGE(G10:G16),2))</f>
        <v>2.11</v>
      </c>
      <c r="H17" s="3">
        <f t="shared" si="0"/>
        <v>3</v>
      </c>
    </row>
    <row r="18" spans="5:8">
      <c r="E18" s="15" t="s">
        <v>22</v>
      </c>
    </row>
    <row r="19" spans="5:8">
      <c r="E19" s="16" t="s">
        <v>9</v>
      </c>
      <c r="F19" s="3" t="str">
        <f>IF(ISERROR((SUMIFS(Hide!$F$8:$F$12, Hide!$B$8:$B$12,$E19, Hide!$D$8:$D$12, F$8)+SUMIFS(Hide!$F$23:$F$30, Hide!$B$23:$B$30,$E19, Hide!$D$23:$D$30, F$8))/(SUMIFS(Hide!$E$8:$E$12, Hide!$B$8:$B$12,$E19, Hide!$D$8:$D$12, F$8)+SUMIFS(Hide!$E$23:$E$30, Hide!$B$23:$B$30,$E19, Hide!$D$23:$D$30, F$8))), "None", ROUND((SUMIFS(Hide!$F$8:$F$12, Hide!$B$8:$B$12,$E19, Hide!$D$8:$D$12, F$8)+SUMIFS(Hide!$F$23:$F$30, Hide!$B$23:$B$30,$E19, Hide!$D$23:$D$30, F$8))/(SUMIFS(Hide!$E$8:$E$12, Hide!$B$8:$B$12,$E19, Hide!$D$8:$D$12, F$8)+SUMIFS(Hide!$E$23:$E$30, Hide!$B$23:$B$30,$E19, Hide!$D$23:$D$30, F$8)), 2))</f>
        <v>None</v>
      </c>
      <c r="G19" s="3">
        <f>IF(ISERROR((SUMIFS(Hide!$F$8:$F$12, Hide!$B$8:$B$12,$E19, Hide!$D$8:$D$12, G$8)+SUMIFS(Hide!$F$23:$F$30, Hide!$B$23:$B$30,$E19, Hide!$D$23:$D$30, G$8))/(SUMIFS(Hide!$E$8:$E$12, Hide!$B$8:$B$12,$E19, Hide!$D$8:$D$12, G$8)+SUMIFS(Hide!$E$23:$E$30, Hide!$B$23:$B$30,$E19, Hide!$D$23:$D$30, G$8))), "None", ROUND((SUMIFS(Hide!$F$8:$F$12, Hide!$B$8:$B$12,$E19, Hide!$D$8:$D$12, G$8)+SUMIFS(Hide!$F$23:$F$30, Hide!$B$23:$B$30,$E19, Hide!$D$23:$D$30, G$8))/(SUMIFS(Hide!$E$8:$E$12, Hide!$B$8:$B$12,$E19, Hide!$D$8:$D$12, G$8)+SUMIFS(Hide!$E$23:$E$30, Hide!$B$23:$B$30,$E19, Hide!$D$23:$D$30, G$8)), 2))</f>
        <v>4</v>
      </c>
      <c r="H19" s="3" t="str">
        <f>IF(ISERROR((SUMIFS(Hide!$F$8:$F$12, Hide!$B$8:$B$12,$E19, Hide!$D$8:$D$12, H$8)+SUMIFS(Hide!$F$23:$F$30, Hide!$B$23:$B$30,$E19, Hide!$D$23:$D$30, H$8))/(SUMIFS(Hide!$E$8:$E$12, Hide!$B$8:$B$12,$E19, Hide!$D$8:$D$12, H$8)+SUMIFS(Hide!$E$23:$E$30, Hide!$B$23:$B$30,$E19, Hide!$D$23:$D$30, H$8))), "None", ROUND((SUMIFS(Hide!$F$8:$F$12, Hide!$B$8:$B$12,$E19, Hide!$D$8:$D$12, H$8)+SUMIFS(Hide!$F$23:$F$30, Hide!$B$23:$B$30,$E19, Hide!$D$23:$D$30, H$8))/(SUMIFS(Hide!$E$8:$E$12, Hide!$B$8:$B$12,$E19, Hide!$D$8:$D$12, H$8)+SUMIFS(Hide!$E$23:$E$30, Hide!$B$23:$B$30,$E19, Hide!$D$23:$D$30, H$8)), 2))</f>
        <v>None</v>
      </c>
    </row>
    <row r="20" spans="5:8">
      <c r="E20" s="16" t="s">
        <v>7</v>
      </c>
      <c r="F20" s="3">
        <f>IF(ISERROR((SUMIFS(Hide!$F$8:$F$12, Hide!$B$8:$B$12,$E20, Hide!$D$8:$D$12, F$8)+SUMIFS(Hide!$F$23:$F$30, Hide!$B$23:$B$30,$E20, Hide!$D$23:$D$30, F$8))/(SUMIFS(Hide!$E$8:$E$12, Hide!$B$8:$B$12,$E20, Hide!$D$8:$D$12, F$8)+SUMIFS(Hide!$E$23:$E$30, Hide!$B$23:$B$30,$E20, Hide!$D$23:$D$30, F$8))), "None", ROUND((SUMIFS(Hide!$F$8:$F$12, Hide!$B$8:$B$12,$E20, Hide!$D$8:$D$12, F$8)+SUMIFS(Hide!$F$23:$F$30, Hide!$B$23:$B$30,$E20, Hide!$D$23:$D$30, F$8))/(SUMIFS(Hide!$E$8:$E$12, Hide!$B$8:$B$12,$E20, Hide!$D$8:$D$12, F$8)+SUMIFS(Hide!$E$23:$E$30, Hide!$B$23:$B$30,$E20, Hide!$D$23:$D$30, F$8)), 2))</f>
        <v>5</v>
      </c>
      <c r="G20" s="3" t="str">
        <f>IF(ISERROR((SUMIFS(Hide!$F$8:$F$12, Hide!$B$8:$B$12,$E20, Hide!$D$8:$D$12, G$8)+SUMIFS(Hide!$F$23:$F$30, Hide!$B$23:$B$30,$E20, Hide!$D$23:$D$30, G$8))/(SUMIFS(Hide!$E$8:$E$12, Hide!$B$8:$B$12,$E20, Hide!$D$8:$D$12, G$8)+SUMIFS(Hide!$E$23:$E$30, Hide!$B$23:$B$30,$E20, Hide!$D$23:$D$30, G$8))), "None", ROUND((SUMIFS(Hide!$F$8:$F$12, Hide!$B$8:$B$12,$E20, Hide!$D$8:$D$12, G$8)+SUMIFS(Hide!$F$23:$F$30, Hide!$B$23:$B$30,$E20, Hide!$D$23:$D$30, G$8))/(SUMIFS(Hide!$E$8:$E$12, Hide!$B$8:$B$12,$E20, Hide!$D$8:$D$12, G$8)+SUMIFS(Hide!$E$23:$E$30, Hide!$B$23:$B$30,$E20, Hide!$D$23:$D$30, G$8)), 2))</f>
        <v>None</v>
      </c>
      <c r="H20" s="3" t="str">
        <f>IF(ISERROR((SUMIFS(Hide!$F$8:$F$12, Hide!$B$8:$B$12,$E20, Hide!$D$8:$D$12, H$8)+SUMIFS(Hide!$F$23:$F$30, Hide!$B$23:$B$30,$E20, Hide!$D$23:$D$30, H$8))/(SUMIFS(Hide!$E$8:$E$12, Hide!$B$8:$B$12,$E20, Hide!$D$8:$D$12, H$8)+SUMIFS(Hide!$E$23:$E$30, Hide!$B$23:$B$30,$E20, Hide!$D$23:$D$30, H$8))), "None", ROUND((SUMIFS(Hide!$F$8:$F$12, Hide!$B$8:$B$12,$E20, Hide!$D$8:$D$12, H$8)+SUMIFS(Hide!$F$23:$F$30, Hide!$B$23:$B$30,$E20, Hide!$D$23:$D$30, H$8))/(SUMIFS(Hide!$E$8:$E$12, Hide!$B$8:$B$12,$E20, Hide!$D$8:$D$12, H$8)+SUMIFS(Hide!$E$23:$E$30, Hide!$B$23:$B$30,$E20, Hide!$D$23:$D$30, H$8)), 2))</f>
        <v>None</v>
      </c>
    </row>
    <row r="21" spans="5:8">
      <c r="E21" s="16" t="s">
        <v>13</v>
      </c>
      <c r="F21" s="3">
        <f>IF(ISERROR((SUMIFS(Hide!$F$8:$F$12, Hide!$B$8:$B$12,$E21, Hide!$D$8:$D$12, F$8)+SUMIFS(Hide!$F$23:$F$30, Hide!$B$23:$B$30,$E21, Hide!$D$23:$D$30, F$8))/(SUMIFS(Hide!$E$8:$E$12, Hide!$B$8:$B$12,$E21, Hide!$D$8:$D$12, F$8)+SUMIFS(Hide!$E$23:$E$30, Hide!$B$23:$B$30,$E21, Hide!$D$23:$D$30, F$8))), "None", ROUND((SUMIFS(Hide!$F$8:$F$12, Hide!$B$8:$B$12,$E21, Hide!$D$8:$D$12, F$8)+SUMIFS(Hide!$F$23:$F$30, Hide!$B$23:$B$30,$E21, Hide!$D$23:$D$30, F$8))/(SUMIFS(Hide!$E$8:$E$12, Hide!$B$8:$B$12,$E21, Hide!$D$8:$D$12, F$8)+SUMIFS(Hide!$E$23:$E$30, Hide!$B$23:$B$30,$E21, Hide!$D$23:$D$30, F$8)), 2))</f>
        <v>1</v>
      </c>
      <c r="G21" s="3" t="str">
        <f>IF(ISERROR((SUMIFS(Hide!$F$8:$F$12, Hide!$B$8:$B$12,$E21, Hide!$D$8:$D$12, G$8)+SUMIFS(Hide!$F$23:$F$30, Hide!$B$23:$B$30,$E21, Hide!$D$23:$D$30, G$8))/(SUMIFS(Hide!$E$8:$E$12, Hide!$B$8:$B$12,$E21, Hide!$D$8:$D$12, G$8)+SUMIFS(Hide!$E$23:$E$30, Hide!$B$23:$B$30,$E21, Hide!$D$23:$D$30, G$8))), "None", ROUND((SUMIFS(Hide!$F$8:$F$12, Hide!$B$8:$B$12,$E21, Hide!$D$8:$D$12, G$8)+SUMIFS(Hide!$F$23:$F$30, Hide!$B$23:$B$30,$E21, Hide!$D$23:$D$30, G$8))/(SUMIFS(Hide!$E$8:$E$12, Hide!$B$8:$B$12,$E21, Hide!$D$8:$D$12, G$8)+SUMIFS(Hide!$E$23:$E$30, Hide!$B$23:$B$30,$E21, Hide!$D$23:$D$30, G$8)), 2))</f>
        <v>None</v>
      </c>
      <c r="H21" s="3" t="str">
        <f>IF(ISERROR((SUMIFS(Hide!$F$8:$F$12, Hide!$B$8:$B$12,$E21, Hide!$D$8:$D$12, H$8)+SUMIFS(Hide!$F$23:$F$30, Hide!$B$23:$B$30,$E21, Hide!$D$23:$D$30, H$8))/(SUMIFS(Hide!$E$8:$E$12, Hide!$B$8:$B$12,$E21, Hide!$D$8:$D$12, H$8)+SUMIFS(Hide!$E$23:$E$30, Hide!$B$23:$B$30,$E21, Hide!$D$23:$D$30, H$8))), "None", ROUND((SUMIFS(Hide!$F$8:$F$12, Hide!$B$8:$B$12,$E21, Hide!$D$8:$D$12, H$8)+SUMIFS(Hide!$F$23:$F$30, Hide!$B$23:$B$30,$E21, Hide!$D$23:$D$30, H$8))/(SUMIFS(Hide!$E$8:$E$12, Hide!$B$8:$B$12,$E21, Hide!$D$8:$D$12, H$8)+SUMIFS(Hide!$E$23:$E$30, Hide!$B$23:$B$30,$E21, Hide!$D$23:$D$30, H$8)), 2))</f>
        <v>None</v>
      </c>
    </row>
    <row r="22" spans="5:8">
      <c r="E22" s="16" t="s">
        <v>11</v>
      </c>
      <c r="F22" s="3" t="str">
        <f>IF(ISERROR((SUMIFS(Hide!$F$8:$F$12, Hide!$B$8:$B$12,$E22, Hide!$D$8:$D$12, F$8)+SUMIFS(Hide!$F$23:$F$30, Hide!$B$23:$B$30,$E22, Hide!$D$23:$D$30, F$8))/(SUMIFS(Hide!$E$8:$E$12, Hide!$B$8:$B$12,$E22, Hide!$D$8:$D$12, F$8)+SUMIFS(Hide!$E$23:$E$30, Hide!$B$23:$B$30,$E22, Hide!$D$23:$D$30, F$8))), "None", ROUND((SUMIFS(Hide!$F$8:$F$12, Hide!$B$8:$B$12,$E22, Hide!$D$8:$D$12, F$8)+SUMIFS(Hide!$F$23:$F$30, Hide!$B$23:$B$30,$E22, Hide!$D$23:$D$30, F$8))/(SUMIFS(Hide!$E$8:$E$12, Hide!$B$8:$B$12,$E22, Hide!$D$8:$D$12, F$8)+SUMIFS(Hide!$E$23:$E$30, Hide!$B$23:$B$30,$E22, Hide!$D$23:$D$30, F$8)), 2))</f>
        <v>None</v>
      </c>
      <c r="G22" s="3" t="str">
        <f>IF(ISERROR((SUMIFS(Hide!$F$8:$F$12, Hide!$B$8:$B$12,$E22, Hide!$D$8:$D$12, G$8)+SUMIFS(Hide!$F$23:$F$30, Hide!$B$23:$B$30,$E22, Hide!$D$23:$D$30, G$8))/(SUMIFS(Hide!$E$8:$E$12, Hide!$B$8:$B$12,$E22, Hide!$D$8:$D$12, G$8)+SUMIFS(Hide!$E$23:$E$30, Hide!$B$23:$B$30,$E22, Hide!$D$23:$D$30, G$8))), "None", ROUND((SUMIFS(Hide!$F$8:$F$12, Hide!$B$8:$B$12,$E22, Hide!$D$8:$D$12, G$8)+SUMIFS(Hide!$F$23:$F$30, Hide!$B$23:$B$30,$E22, Hide!$D$23:$D$30, G$8))/(SUMIFS(Hide!$E$8:$E$12, Hide!$B$8:$B$12,$E22, Hide!$D$8:$D$12, G$8)+SUMIFS(Hide!$E$23:$E$30, Hide!$B$23:$B$30,$E22, Hide!$D$23:$D$30, G$8)), 2))</f>
        <v>None</v>
      </c>
      <c r="H22" s="3">
        <f>IF(ISERROR((SUMIFS(Hide!$F$8:$F$12, Hide!$B$8:$B$12,$E22, Hide!$D$8:$D$12, H$8)+SUMIFS(Hide!$F$23:$F$30, Hide!$B$23:$B$30,$E22, Hide!$D$23:$D$30, H$8))/(SUMIFS(Hide!$E$8:$E$12, Hide!$B$8:$B$12,$E22, Hide!$D$8:$D$12, H$8)+SUMIFS(Hide!$E$23:$E$30, Hide!$B$23:$B$30,$E22, Hide!$D$23:$D$30, H$8))), "None", ROUND((SUMIFS(Hide!$F$8:$F$12, Hide!$B$8:$B$12,$E22, Hide!$D$8:$D$12, H$8)+SUMIFS(Hide!$F$23:$F$30, Hide!$B$23:$B$30,$E22, Hide!$D$23:$D$30, H$8))/(SUMIFS(Hide!$E$8:$E$12, Hide!$B$8:$B$12,$E22, Hide!$D$8:$D$12, H$8)+SUMIFS(Hide!$E$23:$E$30, Hide!$B$23:$B$30,$E22, Hide!$D$23:$D$30, H$8)), 2))</f>
        <v>5</v>
      </c>
    </row>
    <row r="23" spans="5:8">
      <c r="E23" s="16" t="s">
        <v>12</v>
      </c>
      <c r="F23" s="3" t="str">
        <f>IF(ISERROR((SUMIFS(Hide!$F$8:$F$12, Hide!$B$8:$B$12,$E23, Hide!$D$8:$D$12, F$8)+SUMIFS(Hide!$F$23:$F$30, Hide!$B$23:$B$30,$E23, Hide!$D$23:$D$30, F$8))/(SUMIFS(Hide!$E$8:$E$12, Hide!$B$8:$B$12,$E23, Hide!$D$8:$D$12, F$8)+SUMIFS(Hide!$E$23:$E$30, Hide!$B$23:$B$30,$E23, Hide!$D$23:$D$30, F$8))), "None", ROUND((SUMIFS(Hide!$F$8:$F$12, Hide!$B$8:$B$12,$E23, Hide!$D$8:$D$12, F$8)+SUMIFS(Hide!$F$23:$F$30, Hide!$B$23:$B$30,$E23, Hide!$D$23:$D$30, F$8))/(SUMIFS(Hide!$E$8:$E$12, Hide!$B$8:$B$12,$E23, Hide!$D$8:$D$12, F$8)+SUMIFS(Hide!$E$23:$E$30, Hide!$B$23:$B$30,$E23, Hide!$D$23:$D$30, F$8)), 2))</f>
        <v>None</v>
      </c>
      <c r="G23" s="3">
        <f>IF(ISERROR((SUMIFS(Hide!$F$8:$F$12, Hide!$B$8:$B$12,$E23, Hide!$D$8:$D$12, G$8)+SUMIFS(Hide!$F$23:$F$30, Hide!$B$23:$B$30,$E23, Hide!$D$23:$D$30, G$8))/(SUMIFS(Hide!$E$8:$E$12, Hide!$B$8:$B$12,$E23, Hide!$D$8:$D$12, G$8)+SUMIFS(Hide!$E$23:$E$30, Hide!$B$23:$B$30,$E23, Hide!$D$23:$D$30, G$8))), "None", ROUND((SUMIFS(Hide!$F$8:$F$12, Hide!$B$8:$B$12,$E23, Hide!$D$8:$D$12, G$8)+SUMIFS(Hide!$F$23:$F$30, Hide!$B$23:$B$30,$E23, Hide!$D$23:$D$30, G$8))/(SUMIFS(Hide!$E$8:$E$12, Hide!$B$8:$B$12,$E23, Hide!$D$8:$D$12, G$8)+SUMIFS(Hide!$E$23:$E$30, Hide!$B$23:$B$30,$E23, Hide!$D$23:$D$30, G$8)), 2))</f>
        <v>4</v>
      </c>
      <c r="H23" s="3">
        <f>IF(ISERROR((SUMIFS(Hide!$F$8:$F$12, Hide!$B$8:$B$12,$E23, Hide!$D$8:$D$12, H$8)+SUMIFS(Hide!$F$23:$F$30, Hide!$B$23:$B$30,$E23, Hide!$D$23:$D$30, H$8))/(SUMIFS(Hide!$E$8:$E$12, Hide!$B$8:$B$12,$E23, Hide!$D$8:$D$12, H$8)+SUMIFS(Hide!$E$23:$E$30, Hide!$B$23:$B$30,$E23, Hide!$D$23:$D$30, H$8))), "None", ROUND((SUMIFS(Hide!$F$8:$F$12, Hide!$B$8:$B$12,$E23, Hide!$D$8:$D$12, H$8)+SUMIFS(Hide!$F$23:$F$30, Hide!$B$23:$B$30,$E23, Hide!$D$23:$D$30, H$8))/(SUMIFS(Hide!$E$8:$E$12, Hide!$B$8:$B$12,$E23, Hide!$D$8:$D$12, H$8)+SUMIFS(Hide!$E$23:$E$30, Hide!$B$23:$B$30,$E23, Hide!$D$23:$D$30, H$8)), 2))</f>
        <v>2</v>
      </c>
    </row>
    <row r="24" spans="5:8">
      <c r="E24" s="16" t="s">
        <v>6</v>
      </c>
      <c r="F24" s="3">
        <f>IF(ISERROR((SUMIFS(Hide!$F$8:$F$12, Hide!$B$8:$B$12,$E24, Hide!$D$8:$D$12, F$8)+SUMIFS(Hide!$F$23:$F$30, Hide!$B$23:$B$30,$E24, Hide!$D$23:$D$30, F$8))/(SUMIFS(Hide!$E$8:$E$12, Hide!$B$8:$B$12,$E24, Hide!$D$8:$D$12, F$8)+SUMIFS(Hide!$E$23:$E$30, Hide!$B$23:$B$30,$E24, Hide!$D$23:$D$30, F$8))), "None", ROUND((SUMIFS(Hide!$F$8:$F$12, Hide!$B$8:$B$12,$E24, Hide!$D$8:$D$12, F$8)+SUMIFS(Hide!$F$23:$F$30, Hide!$B$23:$B$30,$E24, Hide!$D$23:$D$30, F$8))/(SUMIFS(Hide!$E$8:$E$12, Hide!$B$8:$B$12,$E24, Hide!$D$8:$D$12, F$8)+SUMIFS(Hide!$E$23:$E$30, Hide!$B$23:$B$30,$E24, Hide!$D$23:$D$30, F$8)), 2))</f>
        <v>3</v>
      </c>
      <c r="G24" s="3">
        <f>IF(ISERROR((SUMIFS(Hide!$F$8:$F$12, Hide!$B$8:$B$12,$E24, Hide!$D$8:$D$12, G$8)+SUMIFS(Hide!$F$23:$F$30, Hide!$B$23:$B$30,$E24, Hide!$D$23:$D$30, G$8))/(SUMIFS(Hide!$E$8:$E$12, Hide!$B$8:$B$12,$E24, Hide!$D$8:$D$12, G$8)+SUMIFS(Hide!$E$23:$E$30, Hide!$B$23:$B$30,$E24, Hide!$D$23:$D$30, G$8))), "None", ROUND((SUMIFS(Hide!$F$8:$F$12, Hide!$B$8:$B$12,$E24, Hide!$D$8:$D$12, G$8)+SUMIFS(Hide!$F$23:$F$30, Hide!$B$23:$B$30,$E24, Hide!$D$23:$D$30, G$8))/(SUMIFS(Hide!$E$8:$E$12, Hide!$B$8:$B$12,$E24, Hide!$D$8:$D$12, G$8)+SUMIFS(Hide!$E$23:$E$30, Hide!$B$23:$B$30,$E24, Hide!$D$23:$D$30, G$8)), 2))</f>
        <v>2.67</v>
      </c>
      <c r="H24" s="3" t="str">
        <f>IF(ISERROR((SUMIFS(Hide!$F$8:$F$12, Hide!$B$8:$B$12,$E24, Hide!$D$8:$D$12, H$8)+SUMIFS(Hide!$F$23:$F$30, Hide!$B$23:$B$30,$E24, Hide!$D$23:$D$30, H$8))/(SUMIFS(Hide!$E$8:$E$12, Hide!$B$8:$B$12,$E24, Hide!$D$8:$D$12, H$8)+SUMIFS(Hide!$E$23:$E$30, Hide!$B$23:$B$30,$E24, Hide!$D$23:$D$30, H$8))), "None", ROUND((SUMIFS(Hide!$F$8:$F$12, Hide!$B$8:$B$12,$E24, Hide!$D$8:$D$12, H$8)+SUMIFS(Hide!$F$23:$F$30, Hide!$B$23:$B$30,$E24, Hide!$D$23:$D$30, H$8))/(SUMIFS(Hide!$E$8:$E$12, Hide!$B$8:$B$12,$E24, Hide!$D$8:$D$12, H$8)+SUMIFS(Hide!$E$23:$E$30, Hide!$B$23:$B$30,$E24, Hide!$D$23:$D$30, H$8)), 2))</f>
        <v>None</v>
      </c>
    </row>
    <row r="25" spans="5:8">
      <c r="E25" s="16" t="s">
        <v>8</v>
      </c>
      <c r="F25" s="3">
        <f>IF(ISERROR((SUMIFS(Hide!$F$8:$F$12, Hide!$B$8:$B$12,$E25, Hide!$D$8:$D$12, F$8)+SUMIFS(Hide!$F$23:$F$30, Hide!$B$23:$B$30,$E25, Hide!$D$23:$D$30, F$8))/(SUMIFS(Hide!$E$8:$E$12, Hide!$B$8:$B$12,$E25, Hide!$D$8:$D$12, F$8)+SUMIFS(Hide!$E$23:$E$30, Hide!$B$23:$B$30,$E25, Hide!$D$23:$D$30, F$8))), "None", ROUND((SUMIFS(Hide!$F$8:$F$12, Hide!$B$8:$B$12,$E25, Hide!$D$8:$D$12, F$8)+SUMIFS(Hide!$F$23:$F$30, Hide!$B$23:$B$30,$E25, Hide!$D$23:$D$30, F$8))/(SUMIFS(Hide!$E$8:$E$12, Hide!$B$8:$B$12,$E25, Hide!$D$8:$D$12, F$8)+SUMIFS(Hide!$E$23:$E$30, Hide!$B$23:$B$30,$E25, Hide!$D$23:$D$30, F$8)), 2))</f>
        <v>3</v>
      </c>
      <c r="G25" s="3" t="str">
        <f>IF(ISERROR((SUMIFS(Hide!$F$8:$F$12, Hide!$B$8:$B$12,$E25, Hide!$D$8:$D$12, G$8)+SUMIFS(Hide!$F$23:$F$30, Hide!$B$23:$B$30,$E25, Hide!$D$23:$D$30, G$8))/(SUMIFS(Hide!$E$8:$E$12, Hide!$B$8:$B$12,$E25, Hide!$D$8:$D$12, G$8)+SUMIFS(Hide!$E$23:$E$30, Hide!$B$23:$B$30,$E25, Hide!$D$23:$D$30, G$8))), "None", ROUND((SUMIFS(Hide!$F$8:$F$12, Hide!$B$8:$B$12,$E25, Hide!$D$8:$D$12, G$8)+SUMIFS(Hide!$F$23:$F$30, Hide!$B$23:$B$30,$E25, Hide!$D$23:$D$30, G$8))/(SUMIFS(Hide!$E$8:$E$12, Hide!$B$8:$B$12,$E25, Hide!$D$8:$D$12, G$8)+SUMIFS(Hide!$E$23:$E$30, Hide!$B$23:$B$30,$E25, Hide!$D$23:$D$30, G$8)), 2))</f>
        <v>None</v>
      </c>
      <c r="H25" s="3" t="str">
        <f>IF(ISERROR((SUMIFS(Hide!$F$8:$F$12, Hide!$B$8:$B$12,$E25, Hide!$D$8:$D$12, H$8)+SUMIFS(Hide!$F$23:$F$30, Hide!$B$23:$B$30,$E25, Hide!$D$23:$D$30, H$8))/(SUMIFS(Hide!$E$8:$E$12, Hide!$B$8:$B$12,$E25, Hide!$D$8:$D$12, H$8)+SUMIFS(Hide!$E$23:$E$30, Hide!$B$23:$B$30,$E25, Hide!$D$23:$D$30, H$8))), "None", ROUND((SUMIFS(Hide!$F$8:$F$12, Hide!$B$8:$B$12,$E25, Hide!$D$8:$D$12, H$8)+SUMIFS(Hide!$F$23:$F$30, Hide!$B$23:$B$30,$E25, Hide!$D$23:$D$30, H$8))/(SUMIFS(Hide!$E$8:$E$12, Hide!$B$8:$B$12,$E25, Hide!$D$8:$D$12, H$8)+SUMIFS(Hide!$E$23:$E$30, Hide!$B$23:$B$30,$E25, Hide!$D$23:$D$30, H$8)), 2))</f>
        <v>None</v>
      </c>
    </row>
    <row r="26" spans="5:8">
      <c r="E26" s="18" t="s">
        <v>18</v>
      </c>
      <c r="F26" s="3">
        <f>IF(ISERROR(ROUND(AVERAGE(F19:F25), 2)), "None", ROUND(AVERAGE(F19:F25), 2))</f>
        <v>3</v>
      </c>
      <c r="G26" s="3">
        <f t="shared" ref="G26:H26" si="1">IF(ISERROR(ROUND(AVERAGE(G19:G25), 2)), "None", ROUND(AVERAGE(G19:G25), 2))</f>
        <v>3.56</v>
      </c>
      <c r="H26" s="3">
        <f t="shared" si="1"/>
        <v>3.5</v>
      </c>
    </row>
  </sheetData>
  <sheetProtection algorithmName="SHA-512" hashValue="TLND2ljeeFNuc1loxMTQ5Umjl0tbB/PKuXe3hPcjreLtwN0V+pEeM0WH2n2lRuh5HopwDiIPRhy7BTJJu1Nhng==" saltValue="8nuZP7dR/jUDEqud6AcxWg==" spinCount="100000" sheet="1" objects="1" scenarios="1"/>
  <sortState xmlns:xlrd2="http://schemas.microsoft.com/office/spreadsheetml/2017/richdata2" ref="E8:E18">
    <sortCondition ref="E8:E18"/>
  </sortState>
  <mergeCells count="2">
    <mergeCell ref="B1:H1"/>
    <mergeCell ref="F7:H7"/>
  </mergeCells>
  <conditionalFormatting sqref="F10:H17">
    <cfRule type="colorScale" priority="3">
      <colorScale>
        <cfvo type="min"/>
        <cfvo type="percentile" val="50"/>
        <cfvo type="max"/>
        <color rgb="FFFF0000"/>
        <color rgb="FFFFC000"/>
        <color theme="9"/>
      </colorScale>
    </cfRule>
  </conditionalFormatting>
  <conditionalFormatting sqref="F19:H25">
    <cfRule type="colorScale" priority="2">
      <colorScale>
        <cfvo type="min"/>
        <cfvo type="percentile" val="50"/>
        <cfvo type="max"/>
        <color rgb="FFFF0000"/>
        <color rgb="FFFFC000"/>
        <color theme="9"/>
      </colorScale>
    </cfRule>
  </conditionalFormatting>
  <conditionalFormatting sqref="F26:H26">
    <cfRule type="colorScale" priority="1">
      <colorScale>
        <cfvo type="min"/>
        <cfvo type="percentile" val="50"/>
        <cfvo type="max"/>
        <color rgb="FFFF0000"/>
        <color rgb="FFFFC000"/>
        <color theme="9"/>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Group Box 2">
              <controlPr defaultSize="0" autoFill="0" autoPict="0">
                <anchor moveWithCells="1">
                  <from>
                    <xdr:col>0</xdr:col>
                    <xdr:colOff>88900</xdr:colOff>
                    <xdr:row>7</xdr:row>
                    <xdr:rowOff>69850</xdr:rowOff>
                  </from>
                  <to>
                    <xdr:col>3</xdr:col>
                    <xdr:colOff>6350</xdr:colOff>
                    <xdr:row>26</xdr:row>
                    <xdr:rowOff>6350</xdr:rowOff>
                  </to>
                </anchor>
              </controlPr>
            </control>
          </mc:Choice>
        </mc:AlternateContent>
        <mc:AlternateContent xmlns:mc="http://schemas.openxmlformats.org/markup-compatibility/2006">
          <mc:Choice Requires="x14">
            <control shapeId="6147" r:id="rId4" name="Group Box 3">
              <controlPr defaultSize="0" autoFill="0" autoPict="0">
                <anchor moveWithCells="1">
                  <from>
                    <xdr:col>1</xdr:col>
                    <xdr:colOff>12700</xdr:colOff>
                    <xdr:row>13</xdr:row>
                    <xdr:rowOff>19050</xdr:rowOff>
                  </from>
                  <to>
                    <xdr:col>1</xdr:col>
                    <xdr:colOff>7816850</xdr:colOff>
                    <xdr:row>18</xdr:row>
                    <xdr:rowOff>88900</xdr:rowOff>
                  </to>
                </anchor>
              </controlPr>
            </control>
          </mc:Choice>
        </mc:AlternateContent>
        <mc:AlternateContent xmlns:mc="http://schemas.openxmlformats.org/markup-compatibility/2006">
          <mc:Choice Requires="x14">
            <control shapeId="6148" r:id="rId5" name="Group Box 4">
              <controlPr defaultSize="0" autoFill="0" autoPict="0">
                <anchor moveWithCells="1">
                  <from>
                    <xdr:col>1</xdr:col>
                    <xdr:colOff>6350</xdr:colOff>
                    <xdr:row>19</xdr:row>
                    <xdr:rowOff>12700</xdr:rowOff>
                  </from>
                  <to>
                    <xdr:col>1</xdr:col>
                    <xdr:colOff>7810500</xdr:colOff>
                    <xdr:row>25</xdr:row>
                    <xdr:rowOff>88900</xdr:rowOff>
                  </to>
                </anchor>
              </controlPr>
            </control>
          </mc:Choice>
        </mc:AlternateContent>
        <mc:AlternateContent xmlns:mc="http://schemas.openxmlformats.org/markup-compatibility/2006">
          <mc:Choice Requires="x14">
            <control shapeId="6149" r:id="rId6" name="Group Box 5">
              <controlPr defaultSize="0" autoFill="0" autoPict="0">
                <anchor moveWithCells="1">
                  <from>
                    <xdr:col>1</xdr:col>
                    <xdr:colOff>3435350</xdr:colOff>
                    <xdr:row>1</xdr:row>
                    <xdr:rowOff>114300</xdr:rowOff>
                  </from>
                  <to>
                    <xdr:col>5</xdr:col>
                    <xdr:colOff>184150</xdr:colOff>
                    <xdr:row>4</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CC92E-F9D7-4B7B-9913-EDB7477B9E6B}">
  <sheetPr codeName="Sheet3"/>
  <dimension ref="A2:P119"/>
  <sheetViews>
    <sheetView workbookViewId="0">
      <selection activeCell="B3" sqref="B3"/>
    </sheetView>
  </sheetViews>
  <sheetFormatPr defaultRowHeight="12.5"/>
  <cols>
    <col min="1" max="1" width="71.08984375" style="4" customWidth="1"/>
    <col min="2" max="2" width="13.6328125" style="4" customWidth="1"/>
    <col min="3" max="3" width="24.36328125" style="4" customWidth="1"/>
    <col min="4" max="4" width="13.36328125" style="4" customWidth="1"/>
    <col min="5" max="16384" width="8.7265625" style="4"/>
  </cols>
  <sheetData>
    <row r="2" spans="1:16">
      <c r="B2" s="4" t="s">
        <v>15</v>
      </c>
    </row>
    <row r="3" spans="1:16">
      <c r="A3" s="4" t="s">
        <v>1</v>
      </c>
      <c r="B3" s="4">
        <v>2</v>
      </c>
    </row>
    <row r="4" spans="1:16">
      <c r="A4" s="4" t="s">
        <v>2</v>
      </c>
      <c r="B4" s="4">
        <v>1.5</v>
      </c>
    </row>
    <row r="5" spans="1:16">
      <c r="A5" s="4" t="s">
        <v>14</v>
      </c>
      <c r="B5" s="4">
        <v>1</v>
      </c>
    </row>
    <row r="6" spans="1:16">
      <c r="A6" s="5"/>
      <c r="B6" s="6"/>
      <c r="E6" s="7"/>
      <c r="F6" s="8"/>
      <c r="G6" s="9"/>
      <c r="H6" s="9"/>
      <c r="I6" s="9"/>
      <c r="J6" s="9"/>
      <c r="K6" s="9"/>
      <c r="L6" s="9"/>
      <c r="M6" s="9"/>
      <c r="N6" s="9"/>
      <c r="O6" s="9"/>
      <c r="P6" s="9"/>
    </row>
    <row r="7" spans="1:16">
      <c r="A7" s="5" t="str">
        <f>INPUTS!A10</f>
        <v>GenAI Applications (Generalized &amp; Specialized)
Generate new content based on text or non-text prompts</v>
      </c>
      <c r="B7" s="5"/>
      <c r="C7" s="5"/>
      <c r="D7" s="5"/>
      <c r="E7" s="5"/>
      <c r="F7" s="8"/>
      <c r="G7" s="9"/>
      <c r="H7" s="9"/>
      <c r="I7" s="9"/>
      <c r="J7" s="9"/>
      <c r="K7" s="9"/>
      <c r="L7" s="9"/>
      <c r="M7" s="9"/>
      <c r="N7" s="9"/>
      <c r="O7" s="9"/>
      <c r="P7" s="9"/>
    </row>
    <row r="8" spans="1:16">
      <c r="A8" s="5" t="str">
        <f>INPUTS!A11</f>
        <v>Degree of formalized GenAI governance across the non-profit</v>
      </c>
      <c r="B8" s="5" t="str">
        <f>INPUTS!B11</f>
        <v>Process</v>
      </c>
      <c r="C8" s="5">
        <f>INPUTS!C11</f>
        <v>2</v>
      </c>
      <c r="D8" s="5" t="str">
        <f>INPUTS!D11</f>
        <v>Important</v>
      </c>
      <c r="E8" s="5">
        <f>VLOOKUP(D8, $A$3:$B$5,2,FALSE)</f>
        <v>1.5</v>
      </c>
      <c r="F8" s="8">
        <f>C8*E8</f>
        <v>3</v>
      </c>
      <c r="G8" s="9"/>
      <c r="H8" s="9"/>
      <c r="I8" s="9"/>
      <c r="J8" s="9"/>
      <c r="K8" s="9"/>
      <c r="L8" s="9"/>
      <c r="M8" s="9"/>
      <c r="N8" s="9"/>
      <c r="O8" s="9"/>
      <c r="P8" s="9"/>
    </row>
    <row r="9" spans="1:16">
      <c r="A9" s="5" t="str">
        <f>INPUTS!A12</f>
        <v>Degree of GenAI literacy of non-profit's staff</v>
      </c>
      <c r="B9" s="5" t="str">
        <f>INPUTS!B12</f>
        <v>People</v>
      </c>
      <c r="C9" s="5">
        <f>INPUTS!C12</f>
        <v>2</v>
      </c>
      <c r="D9" s="5" t="str">
        <f>INPUTS!D12</f>
        <v>Critical</v>
      </c>
      <c r="E9" s="5">
        <f t="shared" ref="E9:E30" si="0">VLOOKUP(D9, $A$3:$B$5,2,FALSE)</f>
        <v>2</v>
      </c>
      <c r="F9" s="8">
        <f t="shared" ref="F9:F30" si="1">C9*E9</f>
        <v>4</v>
      </c>
      <c r="G9" s="9"/>
      <c r="H9" s="9"/>
      <c r="I9" s="9"/>
      <c r="J9" s="9"/>
      <c r="K9" s="9"/>
      <c r="L9" s="9"/>
      <c r="M9" s="9"/>
      <c r="N9" s="9"/>
      <c r="O9" s="9"/>
      <c r="P9" s="9"/>
    </row>
    <row r="10" spans="1:16">
      <c r="A10" s="5" t="str">
        <f>INPUTS!A13</f>
        <v>Degree that the non-profit trusts underlying GenAI applications</v>
      </c>
      <c r="B10" s="5" t="str">
        <f>INPUTS!B13</f>
        <v>Trust</v>
      </c>
      <c r="C10" s="5">
        <f>INPUTS!C13</f>
        <v>3</v>
      </c>
      <c r="D10" s="5" t="str">
        <f>INPUTS!D13</f>
        <v>Manageable</v>
      </c>
      <c r="E10" s="5">
        <f t="shared" si="0"/>
        <v>1</v>
      </c>
      <c r="F10" s="8">
        <f t="shared" si="1"/>
        <v>3</v>
      </c>
      <c r="G10" s="9"/>
      <c r="H10" s="9"/>
      <c r="I10" s="9"/>
      <c r="J10" s="9"/>
      <c r="K10" s="9"/>
      <c r="L10" s="9"/>
      <c r="M10" s="9"/>
      <c r="N10" s="9"/>
      <c r="O10" s="9"/>
      <c r="P10" s="9"/>
    </row>
    <row r="11" spans="1:16">
      <c r="A11" s="5" t="str">
        <f>INPUTS!A14</f>
        <v>Degree that the non-profit is prepared to dispel the overhead myth with GenAI application investments</v>
      </c>
      <c r="B11" s="5" t="str">
        <f>INPUTS!B14</f>
        <v>Process</v>
      </c>
      <c r="C11" s="5">
        <f>INPUTS!C14</f>
        <v>4</v>
      </c>
      <c r="D11" s="5" t="str">
        <f>INPUTS!D14</f>
        <v>Important</v>
      </c>
      <c r="E11" s="5">
        <f t="shared" si="0"/>
        <v>1.5</v>
      </c>
      <c r="F11" s="8">
        <f t="shared" si="1"/>
        <v>6</v>
      </c>
      <c r="G11" s="9"/>
      <c r="H11" s="9"/>
      <c r="I11" s="9"/>
      <c r="J11" s="9"/>
      <c r="K11" s="9"/>
      <c r="L11" s="9"/>
      <c r="M11" s="9"/>
      <c r="N11" s="9"/>
      <c r="O11" s="9"/>
      <c r="P11" s="9"/>
    </row>
    <row r="12" spans="1:16">
      <c r="A12" s="5" t="str">
        <f>INPUTS!A15</f>
        <v>Degree that the non-profit is committed to change its services and work processes using GenAI applications</v>
      </c>
      <c r="B12" s="5" t="str">
        <f>INPUTS!B15</f>
        <v>Culture</v>
      </c>
      <c r="C12" s="5">
        <f>INPUTS!C15</f>
        <v>5</v>
      </c>
      <c r="D12" s="5" t="str">
        <f>INPUTS!D15</f>
        <v>Manageable</v>
      </c>
      <c r="E12" s="5">
        <f t="shared" si="0"/>
        <v>1</v>
      </c>
      <c r="F12" s="8">
        <f t="shared" si="1"/>
        <v>5</v>
      </c>
      <c r="G12" s="9"/>
      <c r="H12" s="9"/>
      <c r="I12" s="9"/>
      <c r="J12" s="9"/>
      <c r="K12" s="9"/>
      <c r="L12" s="9"/>
      <c r="M12" s="9"/>
      <c r="N12" s="10"/>
      <c r="O12" s="11"/>
      <c r="P12" s="12"/>
    </row>
    <row r="13" spans="1:16">
      <c r="A13" s="5"/>
      <c r="B13" s="5"/>
      <c r="C13" s="5"/>
      <c r="D13" s="5"/>
      <c r="E13" s="5"/>
      <c r="F13" s="8"/>
    </row>
    <row r="14" spans="1:16">
      <c r="A14" s="5" t="str">
        <f>INPUTS!A16</f>
        <v>Generalized GenAI Applications
These are a “jack of all trades but a master of none” designed to cover a wide range of prompts across many topic areas. Exanples include Gemini, ChatGPT, and Claude.</v>
      </c>
      <c r="B14" s="5"/>
      <c r="C14" s="5"/>
      <c r="D14" s="5"/>
      <c r="E14" s="5"/>
      <c r="F14" s="8"/>
    </row>
    <row r="15" spans="1:16">
      <c r="A15" s="5" t="str">
        <f>INPUTS!A17</f>
        <v>Degree of understanding of the security &amp; privacy issues associated with using generalized GenAI applications at the non-profit</v>
      </c>
      <c r="B15" s="5" t="str">
        <f>INPUTS!B17</f>
        <v>Knowledge</v>
      </c>
      <c r="C15" s="5">
        <f>INPUTS!C17</f>
        <v>2</v>
      </c>
      <c r="D15" s="5" t="str">
        <f>INPUTS!D17</f>
        <v>Important</v>
      </c>
      <c r="E15" s="5">
        <f t="shared" si="0"/>
        <v>1.5</v>
      </c>
      <c r="F15" s="8">
        <f t="shared" si="1"/>
        <v>3</v>
      </c>
    </row>
    <row r="16" spans="1:16">
      <c r="A16" s="5" t="str">
        <f>INPUTS!A18</f>
        <v>Degree that the non-profit is comfortable giving up agency for a single task or set of tasks in part or in full to a generalized GenAI application</v>
      </c>
      <c r="B16" s="5" t="str">
        <f>INPUTS!B18</f>
        <v>Agency</v>
      </c>
      <c r="C16" s="5">
        <f>INPUTS!C18</f>
        <v>4</v>
      </c>
      <c r="D16" s="5" t="str">
        <f>INPUTS!D18</f>
        <v>Critical</v>
      </c>
      <c r="E16" s="5">
        <f t="shared" si="0"/>
        <v>2</v>
      </c>
      <c r="F16" s="8">
        <f t="shared" si="1"/>
        <v>8</v>
      </c>
    </row>
    <row r="17" spans="1:6">
      <c r="A17" s="5" t="str">
        <f>INPUTS!A19</f>
        <v>Degree that the non-profit has defined generalized GenAI ethical &amp; appropriate use doctrines and which applications are acceptable</v>
      </c>
      <c r="B17" s="5" t="str">
        <f>INPUTS!B19</f>
        <v>Process</v>
      </c>
      <c r="C17" s="5">
        <f>INPUTS!C19</f>
        <v>1</v>
      </c>
      <c r="D17" s="5" t="str">
        <f>INPUTS!D19</f>
        <v>Important</v>
      </c>
      <c r="E17" s="5">
        <f t="shared" si="0"/>
        <v>1.5</v>
      </c>
      <c r="F17" s="8">
        <f t="shared" si="1"/>
        <v>1.5</v>
      </c>
    </row>
    <row r="18" spans="1:6">
      <c r="A18" s="5" t="str">
        <f>INPUTS!A20</f>
        <v>Degree that the non-profit has legal support to protect its data and intellectual property due to generalized GenAI prompts</v>
      </c>
      <c r="B18" s="5" t="str">
        <f>INPUTS!B20</f>
        <v>Legal</v>
      </c>
      <c r="C18" s="5">
        <f>INPUTS!C20</f>
        <v>3</v>
      </c>
      <c r="D18" s="5" t="str">
        <f>INPUTS!D20</f>
        <v>Manageable</v>
      </c>
      <c r="E18" s="5">
        <f t="shared" si="0"/>
        <v>1</v>
      </c>
      <c r="F18" s="8">
        <f t="shared" si="1"/>
        <v>3</v>
      </c>
    </row>
    <row r="19" spans="1:6">
      <c r="A19" s="5" t="str">
        <f>INPUTS!A21</f>
        <v>Degree that the non-profit is comfortable with the potential negative consequences of a generalized GenAI application owner being sued</v>
      </c>
      <c r="B19" s="5" t="str">
        <f>INPUTS!B21</f>
        <v>Legal</v>
      </c>
      <c r="C19" s="5">
        <f>INPUTS!C21</f>
        <v>2</v>
      </c>
      <c r="D19" s="5" t="str">
        <f>INPUTS!D21</f>
        <v>Important</v>
      </c>
      <c r="E19" s="5">
        <f t="shared" si="0"/>
        <v>1.5</v>
      </c>
      <c r="F19" s="8">
        <f t="shared" si="1"/>
        <v>3</v>
      </c>
    </row>
    <row r="20" spans="1:6">
      <c r="A20" s="5" t="str">
        <f>INPUTS!A22</f>
        <v>Degree that the non-profit understands the regulatory issues associated with generalized GenAI use</v>
      </c>
      <c r="B20" s="5" t="str">
        <f>INPUTS!B22</f>
        <v>Knowledge</v>
      </c>
      <c r="C20" s="5">
        <f>INPUTS!C22</f>
        <v>4</v>
      </c>
      <c r="D20" s="5" t="str">
        <f>INPUTS!D22</f>
        <v>Manageable</v>
      </c>
      <c r="E20" s="5">
        <f t="shared" si="0"/>
        <v>1</v>
      </c>
      <c r="F20" s="8">
        <f t="shared" si="1"/>
        <v>4</v>
      </c>
    </row>
    <row r="21" spans="1:6">
      <c r="A21" s="5"/>
      <c r="B21" s="5"/>
      <c r="C21" s="5"/>
      <c r="D21" s="5"/>
      <c r="E21" s="5"/>
      <c r="F21" s="8"/>
    </row>
    <row r="22" spans="1:6">
      <c r="A22" s="5" t="str">
        <f>INPUTS!A23</f>
        <v xml:space="preserve">Specialized GenAI Applications
These applications have limited scope but have the potential to deliver high quality solutions in their targeted niche. </v>
      </c>
      <c r="B22" s="5"/>
      <c r="C22" s="5"/>
      <c r="D22" s="5"/>
      <c r="E22" s="5"/>
      <c r="F22" s="8"/>
    </row>
    <row r="23" spans="1:6">
      <c r="A23" s="5" t="str">
        <f>INPUTS!A24</f>
        <v>Degree that the non-profit has the funds allocated for short-term and long-term specialized GenAI development and maintenance</v>
      </c>
      <c r="B23" s="5" t="str">
        <f>INPUTS!B24</f>
        <v>Financial</v>
      </c>
      <c r="C23" s="5">
        <f>INPUTS!C24</f>
        <v>1</v>
      </c>
      <c r="D23" s="5" t="str">
        <f>INPUTS!D24</f>
        <v>Manageable</v>
      </c>
      <c r="E23" s="5">
        <f t="shared" si="0"/>
        <v>1</v>
      </c>
      <c r="F23" s="8">
        <f t="shared" si="1"/>
        <v>1</v>
      </c>
    </row>
    <row r="24" spans="1:6">
      <c r="A24" s="5" t="str">
        <f>INPUTS!A25</f>
        <v>Degree that the non-profit's partners associated with supporting specialized GenAI systems are stable and trustworthy</v>
      </c>
      <c r="B24" s="5" t="str">
        <f>INPUTS!B25</f>
        <v>People</v>
      </c>
      <c r="C24" s="5">
        <f>INPUTS!C25</f>
        <v>3</v>
      </c>
      <c r="D24" s="5" t="str">
        <f>INPUTS!D25</f>
        <v>Critical</v>
      </c>
      <c r="E24" s="5">
        <f t="shared" si="0"/>
        <v>2</v>
      </c>
      <c r="F24" s="8">
        <f t="shared" si="1"/>
        <v>6</v>
      </c>
    </row>
    <row r="25" spans="1:6">
      <c r="A25" s="5" t="str">
        <f>INPUTS!A26</f>
        <v>Degree that the non-profit is prepared to give up agency over a single or set of tasks in part or in full due to specialized GenAI application</v>
      </c>
      <c r="B25" s="5" t="str">
        <f>INPUTS!B26</f>
        <v>Agency</v>
      </c>
      <c r="C25" s="5">
        <f>INPUTS!C26</f>
        <v>4</v>
      </c>
      <c r="D25" s="5" t="str">
        <f>INPUTS!D26</f>
        <v>Important</v>
      </c>
      <c r="E25" s="5">
        <f t="shared" si="0"/>
        <v>1.5</v>
      </c>
      <c r="F25" s="8">
        <f t="shared" si="1"/>
        <v>6</v>
      </c>
    </row>
    <row r="26" spans="1:6">
      <c r="A26" s="5" t="str">
        <f>INPUTS!A27</f>
        <v>Degree that the non-profit understands transparency, fairness, and equitable issues of the specialized GenAI application</v>
      </c>
      <c r="B26" s="5" t="str">
        <f>INPUTS!B27</f>
        <v>Knowledge</v>
      </c>
      <c r="C26" s="5">
        <f>INPUTS!C27</f>
        <v>5</v>
      </c>
      <c r="D26" s="5" t="str">
        <f>INPUTS!D27</f>
        <v>Critical</v>
      </c>
      <c r="E26" s="5">
        <f t="shared" si="0"/>
        <v>2</v>
      </c>
      <c r="F26" s="8">
        <f t="shared" si="1"/>
        <v>10</v>
      </c>
    </row>
    <row r="27" spans="1:6">
      <c r="A27" s="5" t="str">
        <f>INPUTS!A28</f>
        <v>Degree that the non-profit is prepared to destroy the specialized GenAI application if it is deemed to have used copyrighted, stolen, or unethically obtained data</v>
      </c>
      <c r="B27" s="5" t="str">
        <f>INPUTS!B28</f>
        <v>Process</v>
      </c>
      <c r="C27" s="5">
        <f>INPUTS!C28</f>
        <v>3</v>
      </c>
      <c r="D27" s="5" t="str">
        <f>INPUTS!D28</f>
        <v>Manageable</v>
      </c>
      <c r="E27" s="5">
        <f t="shared" si="0"/>
        <v>1</v>
      </c>
      <c r="F27" s="8">
        <f t="shared" si="1"/>
        <v>3</v>
      </c>
    </row>
    <row r="28" spans="1:6">
      <c r="A28" s="5" t="str">
        <f>INPUTS!A29</f>
        <v>Degree that the non-profit understands and has the capabilities to manage internal and external data issues (e.g., compensating data sources, quality, access, security, privacy, &amp; cross-jurisdictional)</v>
      </c>
      <c r="B28" s="5" t="str">
        <f>INPUTS!B29</f>
        <v>Process</v>
      </c>
      <c r="C28" s="5">
        <f>INPUTS!C29</f>
        <v>2</v>
      </c>
      <c r="D28" s="5" t="str">
        <f>INPUTS!D29</f>
        <v>Important</v>
      </c>
      <c r="E28" s="5">
        <f t="shared" si="0"/>
        <v>1.5</v>
      </c>
      <c r="F28" s="8">
        <f t="shared" si="1"/>
        <v>3</v>
      </c>
    </row>
    <row r="29" spans="1:6">
      <c r="A29" s="5" t="str">
        <f>INPUTS!A30</f>
        <v>Degree that the non-profit's staff has the knowledge, skills, and abilities to develop and maintain specialized GenAI applications</v>
      </c>
      <c r="B29" s="5" t="str">
        <f>INPUTS!B30</f>
        <v>People</v>
      </c>
      <c r="C29" s="5">
        <f>INPUTS!C30</f>
        <v>1</v>
      </c>
      <c r="D29" s="5" t="str">
        <f>INPUTS!D30</f>
        <v>Critical</v>
      </c>
      <c r="E29" s="5">
        <f t="shared" si="0"/>
        <v>2</v>
      </c>
      <c r="F29" s="8">
        <f t="shared" si="1"/>
        <v>2</v>
      </c>
    </row>
    <row r="30" spans="1:6">
      <c r="A30" s="5" t="str">
        <f>INPUTS!A31</f>
        <v>Degree that the non-profit has the executive sponsorship to support the development of specialized GenAI applications</v>
      </c>
      <c r="B30" s="5" t="str">
        <f>INPUTS!B31</f>
        <v>People</v>
      </c>
      <c r="C30" s="5">
        <f>INPUTS!C31</f>
        <v>4</v>
      </c>
      <c r="D30" s="5" t="str">
        <f>INPUTS!D31</f>
        <v>Important</v>
      </c>
      <c r="E30" s="5">
        <f t="shared" si="0"/>
        <v>1.5</v>
      </c>
      <c r="F30" s="8">
        <f t="shared" si="1"/>
        <v>6</v>
      </c>
    </row>
    <row r="31" spans="1:6">
      <c r="A31" s="5"/>
      <c r="B31" s="5"/>
      <c r="C31" s="5"/>
      <c r="D31" s="5"/>
      <c r="E31" s="5"/>
      <c r="F31" s="8"/>
    </row>
    <row r="32" spans="1:6">
      <c r="A32" s="5"/>
      <c r="B32" s="5"/>
      <c r="C32" s="5"/>
      <c r="D32" s="5"/>
      <c r="E32" s="5"/>
      <c r="F32" s="8"/>
    </row>
    <row r="33" spans="1:6">
      <c r="A33" s="5"/>
      <c r="B33" s="5"/>
      <c r="C33" s="5"/>
      <c r="D33" s="5"/>
      <c r="E33" s="5"/>
    </row>
    <row r="34" spans="1:6">
      <c r="A34" s="5" t="s">
        <v>7</v>
      </c>
      <c r="B34" s="5">
        <f>SUMIF($B$8:$B$12,A34, $F$8:$F$12)/SUMIF($B$8:$B$12,A34, $E$8:$E$12)</f>
        <v>5</v>
      </c>
      <c r="C34" s="5" t="str">
        <f>CONCATENATE(A34, ": ", ROUND(BOTH1,1))</f>
        <v>Culture: 5</v>
      </c>
      <c r="D34" s="5"/>
      <c r="E34" s="5"/>
      <c r="F34" s="8"/>
    </row>
    <row r="35" spans="1:6">
      <c r="A35" s="5" t="s">
        <v>12</v>
      </c>
      <c r="B35" s="5">
        <f>SUMIF($B$8:$B$12,A35, $F$8:$F$12)/SUMIF($B$8:$B$12,A35, $E$8:$E$12)</f>
        <v>2</v>
      </c>
      <c r="C35" s="5" t="str">
        <f>CONCATENATE(A35, ": ", ROUND(BOTH3,1))</f>
        <v>People: 2</v>
      </c>
      <c r="D35" s="5"/>
      <c r="E35" s="5"/>
      <c r="F35" s="8"/>
    </row>
    <row r="36" spans="1:6">
      <c r="A36" s="5" t="s">
        <v>6</v>
      </c>
      <c r="B36" s="5">
        <f>SUMIF($B$8:$B$12,A36, $F$8:$F$12)/SUMIF($B$8:$B$12,A36, $E$8:$E$12)</f>
        <v>3</v>
      </c>
      <c r="C36" s="5" t="str">
        <f>CONCATENATE(A36, ": ", ROUND(BOTH4,1))</f>
        <v>Process: 3</v>
      </c>
      <c r="D36" s="5"/>
      <c r="E36" s="5"/>
    </row>
    <row r="37" spans="1:6">
      <c r="A37" s="5" t="s">
        <v>8</v>
      </c>
      <c r="B37" s="5">
        <f>SUMIF($B$8:$B$12,A37, $F$8:$F$12)/SUMIF($B$8:$B$12,A37, $E$8:$E$12)</f>
        <v>3</v>
      </c>
      <c r="C37" s="5" t="str">
        <f>CONCATENATE(A37, ": ", ROUND(BOTH5,1))</f>
        <v>Trust: 3</v>
      </c>
      <c r="D37" s="5"/>
      <c r="E37" s="5"/>
    </row>
    <row r="38" spans="1:6">
      <c r="B38" s="5"/>
      <c r="C38" s="5"/>
      <c r="D38" s="5"/>
      <c r="E38" s="5"/>
      <c r="F38" s="8"/>
    </row>
    <row r="39" spans="1:6">
      <c r="A39" s="5" t="s">
        <v>0</v>
      </c>
      <c r="B39" s="5"/>
      <c r="C39" s="5"/>
      <c r="D39" s="5"/>
      <c r="E39" s="5"/>
      <c r="F39" s="8"/>
    </row>
    <row r="40" spans="1:6">
      <c r="A40" s="5" t="s">
        <v>9</v>
      </c>
      <c r="B40" s="5">
        <f>SUMIF($B$15:$B$20,A40, $F$15:$F$20)/SUMIF($B$15:$B$20,A40, $E$15:$E$20)</f>
        <v>4</v>
      </c>
      <c r="C40" s="5" t="str">
        <f>CONCATENATE(A40, ": ", ROUND(GENAI1,1))</f>
        <v>Agency: 4</v>
      </c>
      <c r="D40" s="5"/>
      <c r="E40" s="5"/>
      <c r="F40" s="8"/>
    </row>
    <row r="41" spans="1:6">
      <c r="A41" s="4" t="s">
        <v>11</v>
      </c>
      <c r="B41" s="5">
        <f>SUMIF($B$15:$B$20,A41, $F$15:$F$20)/SUMIF($B$15:$B$20,A41, $E$15:$E$20)</f>
        <v>2.8</v>
      </c>
      <c r="C41" s="5" t="str">
        <f>CONCATENATE(A41, ": ", ROUND(GENAI2,1))</f>
        <v>Knowledge: 2.8</v>
      </c>
      <c r="D41" s="5"/>
      <c r="E41" s="5"/>
      <c r="F41" s="8"/>
    </row>
    <row r="42" spans="1:6">
      <c r="A42" s="5" t="s">
        <v>10</v>
      </c>
      <c r="B42" s="5">
        <f>SUMIF($B$15:$B$20,A42, $F$15:$F$20)/SUMIF($B$15:$B$20,A42, $E$15:$E$20)</f>
        <v>2.4</v>
      </c>
      <c r="C42" s="5" t="str">
        <f>CONCATENATE(A42, ": ", ROUND(GENAI3,1))</f>
        <v>Legal: 2.4</v>
      </c>
      <c r="D42" s="5"/>
      <c r="E42" s="5"/>
      <c r="F42" s="8"/>
    </row>
    <row r="43" spans="1:6">
      <c r="A43" s="5" t="s">
        <v>6</v>
      </c>
      <c r="B43" s="5">
        <f>SUMIF($B$15:$B$20,A43, $F$15:$F$20)/SUMIF($B$15:$B$20,A43, $E$15:$E$20)</f>
        <v>1</v>
      </c>
      <c r="C43" s="5" t="str">
        <f>CONCATENATE(A43, ": ", ROUND(GENAI5,1))</f>
        <v>Process: 1</v>
      </c>
      <c r="D43" s="5"/>
      <c r="E43" s="5"/>
    </row>
    <row r="44" spans="1:6">
      <c r="A44" s="5"/>
      <c r="B44" s="5"/>
      <c r="C44" s="5"/>
      <c r="D44" s="5"/>
      <c r="E44" s="5"/>
      <c r="F44" s="8"/>
    </row>
    <row r="45" spans="1:6">
      <c r="A45" s="5" t="s">
        <v>3</v>
      </c>
      <c r="B45" s="5"/>
      <c r="C45" s="5"/>
      <c r="D45" s="5"/>
      <c r="E45" s="5"/>
      <c r="F45" s="8"/>
    </row>
    <row r="46" spans="1:6">
      <c r="A46" s="5" t="s">
        <v>9</v>
      </c>
      <c r="B46" s="5">
        <f>SUMIF($B$23:$B$30,A46, $F$23:$F$30)/SUMIF($B$23:$B$30,A46, $E$23:$E$30)</f>
        <v>4</v>
      </c>
      <c r="C46" s="5" t="str">
        <f>CONCATENATE(A46, ": ", ROUND(SPEC1,1))</f>
        <v>Agency: 4</v>
      </c>
      <c r="D46" s="5"/>
      <c r="E46" s="5"/>
      <c r="F46" s="8"/>
    </row>
    <row r="47" spans="1:6">
      <c r="A47" s="5" t="s">
        <v>13</v>
      </c>
      <c r="B47" s="5">
        <f>SUMIF($B$23:$B$30,A47, $F$23:$F$30)/SUMIF($B$23:$B$30,A47, $E$23:$E$30)</f>
        <v>1</v>
      </c>
      <c r="C47" s="5" t="str">
        <f>CONCATENATE(A47, ": ", ROUND(SPEC2,1))</f>
        <v>Financial: 1</v>
      </c>
      <c r="D47" s="5"/>
      <c r="E47" s="5"/>
      <c r="F47" s="8"/>
    </row>
    <row r="48" spans="1:6">
      <c r="A48" s="5" t="s">
        <v>11</v>
      </c>
      <c r="B48" s="5">
        <f>SUMIF($B$23:$B$30,A48, $F$23:$F$30)/SUMIF($B$23:$B$30,A48, $E$23:$E$30)</f>
        <v>5</v>
      </c>
      <c r="C48" s="5" t="str">
        <f>CONCATENATE(A48, ": ", ROUND(SPEC3,1))</f>
        <v>Knowledge: 5</v>
      </c>
      <c r="D48" s="5"/>
      <c r="E48" s="5"/>
      <c r="F48" s="8"/>
    </row>
    <row r="49" spans="1:6">
      <c r="A49" s="5" t="s">
        <v>12</v>
      </c>
      <c r="B49" s="5">
        <f>SUMIF($B$23:$B$30,A49, $F$23:$F$30)/SUMIF($B$23:$B$30,A49, $E$23:$E$30)</f>
        <v>2.5454545454545454</v>
      </c>
      <c r="C49" s="5" t="str">
        <f>CONCATENATE(A49, ": ", ROUND(SPEC4,1))</f>
        <v>People: 2.5</v>
      </c>
      <c r="D49" s="5"/>
      <c r="E49" s="5"/>
      <c r="F49" s="8"/>
    </row>
    <row r="50" spans="1:6">
      <c r="A50" s="5" t="s">
        <v>6</v>
      </c>
      <c r="B50" s="5">
        <f>SUMIF($B$23:$B$30,A50, $F$23:$F$30)/SUMIF($B$23:$B$30,A50, $E$23:$E$30)</f>
        <v>2.4</v>
      </c>
      <c r="C50" s="5" t="str">
        <f>CONCATENATE(A50, ": ", ROUND(SPEC5,1))</f>
        <v>Process: 2.4</v>
      </c>
      <c r="D50" s="5"/>
      <c r="E50" s="5"/>
      <c r="F50" s="8"/>
    </row>
    <row r="51" spans="1:6">
      <c r="A51" s="5"/>
      <c r="B51" s="5"/>
      <c r="C51" s="5"/>
      <c r="D51" s="5"/>
      <c r="E51" s="5"/>
      <c r="F51" s="8"/>
    </row>
    <row r="52" spans="1:6">
      <c r="A52" s="5"/>
      <c r="B52" s="5"/>
      <c r="C52" s="5"/>
      <c r="D52" s="5"/>
      <c r="E52" s="5"/>
      <c r="F52" s="8"/>
    </row>
    <row r="53" spans="1:6">
      <c r="A53" s="5" t="s">
        <v>16</v>
      </c>
      <c r="B53" s="5">
        <f>AVERAGE(B34:B37, B40:B43)</f>
        <v>2.9</v>
      </c>
      <c r="C53" s="5" t="str">
        <f>CONCATENATE(A53, ": ", ROUND(B53,2))</f>
        <v>Generalized GenAI Score: 2.9</v>
      </c>
      <c r="D53" s="5"/>
      <c r="E53" s="5"/>
      <c r="F53" s="8"/>
    </row>
    <row r="54" spans="1:6">
      <c r="A54" s="5" t="s">
        <v>17</v>
      </c>
      <c r="B54" s="5">
        <f>AVERAGE(B34:B37,B46:B50)</f>
        <v>3.1050505050505048</v>
      </c>
      <c r="C54" s="5" t="str">
        <f>CONCATENATE(A54, ": ", ROUND(B54,2))</f>
        <v>Specialized GenAI Score: 3.11</v>
      </c>
      <c r="D54" s="5"/>
      <c r="E54" s="5"/>
      <c r="F54" s="8"/>
    </row>
    <row r="55" spans="1:6">
      <c r="A55" s="5"/>
      <c r="B55" s="5"/>
      <c r="C55" s="5"/>
      <c r="D55" s="5"/>
      <c r="E55" s="5"/>
      <c r="F55" s="8"/>
    </row>
    <row r="56" spans="1:6">
      <c r="A56" s="5"/>
      <c r="B56" s="5"/>
      <c r="C56" s="5"/>
      <c r="D56" s="5"/>
      <c r="E56" s="5"/>
      <c r="F56" s="8"/>
    </row>
    <row r="57" spans="1:6">
      <c r="A57" s="5"/>
      <c r="B57" s="5"/>
      <c r="C57" s="5"/>
      <c r="D57" s="5"/>
      <c r="E57" s="5"/>
      <c r="F57" s="8"/>
    </row>
    <row r="58" spans="1:6">
      <c r="A58" s="5" t="s">
        <v>24</v>
      </c>
      <c r="B58" s="5"/>
      <c r="C58" s="5"/>
      <c r="D58" s="5"/>
      <c r="E58" s="7"/>
      <c r="F58" s="8"/>
    </row>
    <row r="59" spans="1:6">
      <c r="A59" s="5" t="str">
        <f>INPUTS!A3</f>
        <v>Is the non-profit comfortable with probabilistic decision making and associated technologies that might hallucinate?</v>
      </c>
      <c r="B59" s="6" t="str">
        <f>INPUTS!B3</f>
        <v>Yes</v>
      </c>
      <c r="C59" s="4" t="s">
        <v>26</v>
      </c>
      <c r="D59" s="4" t="s">
        <v>23</v>
      </c>
      <c r="E59" s="7" t="str">
        <f>IF(SHOWSTOP1=D59, "Ready", "Not Ready")</f>
        <v>Ready</v>
      </c>
      <c r="F59" s="8"/>
    </row>
    <row r="60" spans="1:6">
      <c r="A60" s="5" t="str">
        <f>INPUTS!A4</f>
        <v>Is the non-profit comfortable with the ethical considerations associated with GenAI technologies?</v>
      </c>
      <c r="B60" s="6" t="str">
        <f>INPUTS!B4</f>
        <v>No</v>
      </c>
      <c r="C60" s="5" t="s">
        <v>51</v>
      </c>
      <c r="D60" s="5" t="s">
        <v>23</v>
      </c>
      <c r="E60" s="7" t="str">
        <f>IF(SHOWSTOP2=D60, "Ready", "Not Ready")</f>
        <v>Not Ready</v>
      </c>
      <c r="F60" s="8"/>
    </row>
    <row r="61" spans="1:6">
      <c r="A61" s="5" t="str">
        <f>INPUTS!A5</f>
        <v>Is the non-profit comfortable with the regulatory uncertainties surrounding GenAI technologies?</v>
      </c>
      <c r="B61" s="6" t="str">
        <f>INPUTS!B5</f>
        <v>Yes</v>
      </c>
      <c r="C61" s="5" t="s">
        <v>25</v>
      </c>
      <c r="D61" s="5" t="s">
        <v>23</v>
      </c>
      <c r="E61" s="7" t="str">
        <f>IF(SHOWSTOP3=D61, "Ready", "Not Ready")</f>
        <v>Ready</v>
      </c>
      <c r="F61" s="8"/>
    </row>
    <row r="62" spans="1:6">
      <c r="A62" s="5" t="str">
        <f>INPUTS!A6</f>
        <v>Is a key non-profit stakeholder such as a major donor or grant funding organization pressuring the non-profit to use GenAI?</v>
      </c>
      <c r="B62" s="6" t="str">
        <f>INPUTS!B6</f>
        <v>No</v>
      </c>
      <c r="C62" s="5" t="s">
        <v>60</v>
      </c>
      <c r="D62" s="5" t="s">
        <v>23</v>
      </c>
      <c r="E62" s="7" t="str">
        <f>IF(SHOWSTOP4=D62, "Ready", "Not Ready")</f>
        <v>Not Ready</v>
      </c>
      <c r="F62" s="8"/>
    </row>
    <row r="63" spans="1:6">
      <c r="A63" s="5" t="str">
        <f>INPUTS!A7</f>
        <v>Is a key non-profit stakeholder such as a major donor or grant funding organization pressuring the non-profit to not use GenAI?</v>
      </c>
      <c r="B63" s="6" t="str">
        <f>INPUTS!B7</f>
        <v>Yes</v>
      </c>
      <c r="C63" s="5" t="s">
        <v>59</v>
      </c>
      <c r="D63" s="5" t="s">
        <v>20</v>
      </c>
      <c r="E63" s="7" t="str">
        <f>IF(SHOWSTOP5=D63, "Ready", "Not Ready")</f>
        <v>Not Ready</v>
      </c>
      <c r="F63" s="8"/>
    </row>
    <row r="64" spans="1:6">
      <c r="A64" s="5" t="str">
        <f>INPUTS!A8</f>
        <v>Is the non-profit comfortable with the potential reputational harm for using GenAI such that it would hinder their ability to achieve their social or societal mission?</v>
      </c>
      <c r="B64" s="6" t="str">
        <f>INPUTS!B8</f>
        <v>No</v>
      </c>
      <c r="C64" s="4" t="s">
        <v>28</v>
      </c>
      <c r="D64" s="4" t="s">
        <v>23</v>
      </c>
      <c r="E64" s="7" t="str">
        <f>IF(SHOWSTOP6=D64, "Ready", "Not Ready")</f>
        <v>Not Ready</v>
      </c>
      <c r="F64" s="8"/>
    </row>
    <row r="65" spans="1:6">
      <c r="A65" s="5"/>
      <c r="B65" s="5"/>
      <c r="C65" s="5"/>
      <c r="D65" s="5"/>
      <c r="E65" s="7"/>
      <c r="F65" s="8"/>
    </row>
    <row r="66" spans="1:6">
      <c r="A66" s="5"/>
      <c r="B66" s="5"/>
      <c r="C66" s="5" t="str">
        <f>CONCATENATE(IF(SHOWSTOP1=D59,CONCATENATE(C59,": ","Ready"),CONCATENATE(C59,": ","Not Ready")))</f>
        <v>Probability-Based Decision Making: Ready</v>
      </c>
      <c r="D66" s="5"/>
      <c r="E66" s="7"/>
      <c r="F66" s="8"/>
    </row>
    <row r="67" spans="1:6">
      <c r="A67" s="5"/>
      <c r="B67" s="5"/>
      <c r="C67" s="5" t="str">
        <f>CONCATENATE(IF(SHOWSTOP2=D60,CONCATENATE(C60,": ","Ready"),CONCATENATE(C60,": ","Not Ready")))</f>
        <v>Ethical Considerations: Not Ready</v>
      </c>
      <c r="D67" s="5"/>
      <c r="E67" s="7"/>
      <c r="F67" s="8"/>
    </row>
    <row r="68" spans="1:6">
      <c r="A68" s="5"/>
      <c r="B68" s="6"/>
      <c r="C68" s="5" t="str">
        <f>CONCATENATE(IF(SHOWSTOP3=D61,CONCATENATE(C61,": ","Ready"),CONCATENATE(C61,": ","Not Ready")))</f>
        <v>Regulatory: Ready</v>
      </c>
      <c r="E68" s="7"/>
      <c r="F68" s="8"/>
    </row>
    <row r="69" spans="1:6">
      <c r="A69" s="5"/>
      <c r="B69" s="5"/>
      <c r="C69" s="5" t="str">
        <f>CONCATENATE(IF(SHOWSTOP4=D62,CONCATENATE(C62,": ","Ready"),CONCATENATE(C62,": ","Not Ready")))</f>
        <v>Adopting Stakeholder Pressure: Not Ready</v>
      </c>
      <c r="D69" s="5"/>
      <c r="E69" s="7"/>
      <c r="F69" s="8"/>
    </row>
    <row r="70" spans="1:6">
      <c r="A70" s="5"/>
      <c r="B70" s="5"/>
      <c r="C70" s="5" t="str">
        <f>CONCATENATE(IF(SHOWSTOP5=D63,CONCATENATE(C63,": ","Ready"),CONCATENATE(C63,": ","Not Ready")))</f>
        <v>Not Adopting Stakeholder Pressure: Not Ready</v>
      </c>
      <c r="D70" s="5"/>
      <c r="E70" s="7"/>
      <c r="F70" s="8"/>
    </row>
    <row r="71" spans="1:6">
      <c r="A71" s="5"/>
      <c r="B71" s="5"/>
      <c r="C71" s="5" t="str">
        <f>CONCATENATE(IF(SHOWSTOP6=D64,CONCATENATE(C64,": ","Ready"),CONCATENATE(C64,": ","Not Ready")))</f>
        <v>Reputational Risk: Not Ready</v>
      </c>
      <c r="D71" s="5"/>
      <c r="E71" s="7"/>
      <c r="F71" s="8"/>
    </row>
    <row r="72" spans="1:6">
      <c r="A72" s="5"/>
      <c r="B72" s="5"/>
      <c r="C72" s="5"/>
      <c r="D72" s="5"/>
      <c r="E72" s="7"/>
      <c r="F72" s="8"/>
    </row>
    <row r="73" spans="1:6">
      <c r="A73" s="5"/>
      <c r="B73" s="5"/>
      <c r="C73" s="5" t="str">
        <f>CONCATENATE(C66, ", ", C67, ", ", C68, ", ", C69, ", ", C70, ", &amp; ", C71)</f>
        <v>Probability-Based Decision Making: Ready, Ethical Considerations: Not Ready, Regulatory: Ready, Adopting Stakeholder Pressure: Not Ready, Not Adopting Stakeholder Pressure: Not Ready, &amp; Reputational Risk: Not Ready</v>
      </c>
      <c r="D73" s="5"/>
      <c r="E73" s="7"/>
      <c r="F73" s="8"/>
    </row>
    <row r="74" spans="1:6">
      <c r="A74" s="13"/>
      <c r="B74" s="6"/>
      <c r="E74" s="7"/>
      <c r="F74" s="8"/>
    </row>
    <row r="75" spans="1:6">
      <c r="A75" s="5"/>
      <c r="B75" s="5"/>
      <c r="C75" s="5"/>
      <c r="D75" s="5"/>
      <c r="E75" s="7"/>
      <c r="F75" s="8"/>
    </row>
    <row r="76" spans="1:6">
      <c r="A76" s="5"/>
      <c r="B76" s="5"/>
      <c r="C76" s="5"/>
      <c r="D76" s="5"/>
      <c r="E76" s="7"/>
      <c r="F76" s="8"/>
    </row>
    <row r="77" spans="1:6">
      <c r="A77" s="5"/>
      <c r="B77" s="5"/>
      <c r="C77" s="5"/>
      <c r="D77" s="5"/>
      <c r="E77" s="7"/>
      <c r="F77" s="8"/>
    </row>
    <row r="78" spans="1:6">
      <c r="A78" s="13"/>
      <c r="B78" s="6"/>
      <c r="E78" s="7"/>
      <c r="F78" s="8"/>
    </row>
    <row r="79" spans="1:6">
      <c r="A79" s="5"/>
      <c r="B79" s="5"/>
      <c r="C79" s="5"/>
      <c r="D79" s="5"/>
      <c r="E79" s="7"/>
      <c r="F79" s="8"/>
    </row>
    <row r="80" spans="1:6">
      <c r="A80" s="5"/>
      <c r="B80" s="5"/>
      <c r="C80" s="5"/>
      <c r="D80" s="5"/>
      <c r="E80" s="7"/>
      <c r="F80" s="8"/>
    </row>
    <row r="81" spans="1:6">
      <c r="A81" s="5"/>
      <c r="B81" s="5"/>
      <c r="C81" s="5"/>
      <c r="D81" s="5"/>
      <c r="E81" s="7"/>
      <c r="F81" s="8"/>
    </row>
    <row r="82" spans="1:6">
      <c r="A82" s="5"/>
      <c r="B82" s="5"/>
      <c r="C82" s="5"/>
      <c r="D82" s="5"/>
      <c r="E82" s="7"/>
      <c r="F82" s="8"/>
    </row>
    <row r="83" spans="1:6">
      <c r="A83" s="5"/>
      <c r="B83" s="5"/>
      <c r="C83" s="5"/>
      <c r="D83" s="5"/>
      <c r="E83" s="7"/>
      <c r="F83" s="8"/>
    </row>
    <row r="84" spans="1:6">
      <c r="A84" s="13"/>
      <c r="B84" s="6"/>
      <c r="E84" s="7"/>
      <c r="F84" s="8"/>
    </row>
    <row r="85" spans="1:6">
      <c r="A85" s="5"/>
      <c r="B85" s="5"/>
      <c r="C85" s="5"/>
      <c r="D85" s="5"/>
      <c r="E85" s="7"/>
      <c r="F85" s="8"/>
    </row>
    <row r="86" spans="1:6">
      <c r="A86" s="5"/>
      <c r="B86" s="5"/>
      <c r="C86" s="5"/>
      <c r="D86" s="5"/>
      <c r="E86" s="7"/>
      <c r="F86" s="8"/>
    </row>
    <row r="87" spans="1:6">
      <c r="A87" s="5"/>
      <c r="B87" s="5"/>
      <c r="C87" s="5"/>
      <c r="D87" s="5"/>
      <c r="E87" s="7"/>
      <c r="F87" s="8"/>
    </row>
    <row r="88" spans="1:6">
      <c r="A88" s="13"/>
      <c r="B88" s="6"/>
      <c r="E88" s="7"/>
      <c r="F88" s="8"/>
    </row>
    <row r="102" spans="2:2">
      <c r="B102" s="6"/>
    </row>
    <row r="116" spans="2:3">
      <c r="B116" s="6"/>
    </row>
    <row r="119" spans="2:3">
      <c r="C119" s="14"/>
    </row>
  </sheetData>
  <sortState xmlns:xlrd2="http://schemas.microsoft.com/office/spreadsheetml/2017/richdata2" ref="A46:A50">
    <sortCondition ref="A46:A50"/>
  </sortState>
  <dataValidations count="1">
    <dataValidation allowBlank="1" showInputMessage="1" sqref="B116 B6 B59:B64 B102 B68 B74 B78 B84 B88" xr:uid="{21683C9F-D203-446A-95C5-1DA6C2873F57}"/>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34</vt:i4>
      </vt:variant>
    </vt:vector>
  </HeadingPairs>
  <TitlesOfParts>
    <vt:vector size="37" baseType="lpstr">
      <vt:lpstr>INSTRUCTIONS</vt:lpstr>
      <vt:lpstr>INPUTS</vt:lpstr>
      <vt:lpstr>DASHBOARD</vt:lpstr>
      <vt:lpstr>BOTH1</vt:lpstr>
      <vt:lpstr>BOTH3</vt:lpstr>
      <vt:lpstr>BOTH4</vt:lpstr>
      <vt:lpstr>BOTH5</vt:lpstr>
      <vt:lpstr>DISP1</vt:lpstr>
      <vt:lpstr>DISP10</vt:lpstr>
      <vt:lpstr>DISP11</vt:lpstr>
      <vt:lpstr>DISP12</vt:lpstr>
      <vt:lpstr>DISP13</vt:lpstr>
      <vt:lpstr>DISP14</vt:lpstr>
      <vt:lpstr>DISP15</vt:lpstr>
      <vt:lpstr>DISP3</vt:lpstr>
      <vt:lpstr>DISP4</vt:lpstr>
      <vt:lpstr>DISP5</vt:lpstr>
      <vt:lpstr>DISP6</vt:lpstr>
      <vt:lpstr>DISP7</vt:lpstr>
      <vt:lpstr>DISP8</vt:lpstr>
      <vt:lpstr>GENAI1</vt:lpstr>
      <vt:lpstr>GENAI2</vt:lpstr>
      <vt:lpstr>GENAI3</vt:lpstr>
      <vt:lpstr>GENAI5</vt:lpstr>
      <vt:lpstr>GENSCORE</vt:lpstr>
      <vt:lpstr>SHOWSTOP1</vt:lpstr>
      <vt:lpstr>SHOWSTOP2</vt:lpstr>
      <vt:lpstr>SHOWSTOP3</vt:lpstr>
      <vt:lpstr>SHOWSTOP4</vt:lpstr>
      <vt:lpstr>SHOWSTOP5</vt:lpstr>
      <vt:lpstr>SHOWSTOP6</vt:lpstr>
      <vt:lpstr>SPEC1</vt:lpstr>
      <vt:lpstr>SPEC2</vt:lpstr>
      <vt:lpstr>SPEC3</vt:lpstr>
      <vt:lpstr>SPEC4</vt:lpstr>
      <vt:lpstr>SPEC5</vt:lpstr>
      <vt:lpstr>SPECSCORE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Mattson, Tom</dc:creator>
  <cp:lastModifiedBy>Mattson, Tom</cp:lastModifiedBy>
  <dcterms:created xsi:type="dcterms:W3CDTF">2024-06-21T15:04:15Z</dcterms:created>
  <dcterms:modified xsi:type="dcterms:W3CDTF">2025-07-03T14:36:25Z</dcterms:modified>
</cp:coreProperties>
</file>