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mattson\Documents\Mattson\GenerativeAI\PaperOutput\"/>
    </mc:Choice>
  </mc:AlternateContent>
  <xr:revisionPtr revIDLastSave="0" documentId="13_ncr:1_{9B18FECA-06A3-4972-BDF3-4B5C2FB2B983}" xr6:coauthVersionLast="47" xr6:coauthVersionMax="47" xr10:uidLastSave="{00000000-0000-0000-0000-000000000000}"/>
  <bookViews>
    <workbookView xWindow="-110" yWindow="-110" windowWidth="19420" windowHeight="11500" tabRatio="754" xr2:uid="{2DEF6D66-D107-469C-A0BB-3089CD758861}"/>
  </bookViews>
  <sheets>
    <sheet name="INSTRUCTIONS" sheetId="15" r:id="rId1"/>
    <sheet name="INPUTS" sheetId="12" r:id="rId2"/>
    <sheet name="DASHBOARD" sheetId="7" r:id="rId3"/>
    <sheet name="Hide" sheetId="3" state="veryHidden" r:id="rId4"/>
  </sheets>
  <definedNames>
    <definedName name="BOTH1">Hide!$B$34</definedName>
    <definedName name="BOTH2">Hide!#REF!</definedName>
    <definedName name="BOTH3">Hide!$B$35</definedName>
    <definedName name="BOTH4">Hide!$B$36</definedName>
    <definedName name="BOTH5">Hide!$B$37</definedName>
    <definedName name="CIQWBGuid" hidden="1">"Copy of 745743_org_read_assessment.xlsm"</definedName>
    <definedName name="DISP1">Hide!$C$34</definedName>
    <definedName name="DISP10">Hide!$C$43</definedName>
    <definedName name="DISP11">Hide!$C$46</definedName>
    <definedName name="DISP12">Hide!$C$47</definedName>
    <definedName name="DISP13">Hide!$C$48</definedName>
    <definedName name="DISP14">Hide!$C$49</definedName>
    <definedName name="DISP15">Hide!$C$50</definedName>
    <definedName name="DISP2">Hide!#REF!</definedName>
    <definedName name="DISP3">Hide!$C$35</definedName>
    <definedName name="DISP4">Hide!$C$36</definedName>
    <definedName name="DISP5">Hide!$C$37</definedName>
    <definedName name="DISP6">Hide!$C$40</definedName>
    <definedName name="DISP7">Hide!$C$41</definedName>
    <definedName name="DISP8">Hide!$C$42</definedName>
    <definedName name="DISP9">Hide!#REF!</definedName>
    <definedName name="GENAI1">Hide!$B$40</definedName>
    <definedName name="GENAI2">Hide!$B$41</definedName>
    <definedName name="GENAI3">Hide!$B$42</definedName>
    <definedName name="GENAI4">Hide!#REF!</definedName>
    <definedName name="GENAI5">Hide!$B$43</definedName>
    <definedName name="GENSCORE">Hide!$B$53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44070.2346527778</definedName>
    <definedName name="IQ_QTD" hidden="1">750000</definedName>
    <definedName name="IQ_TODAY" hidden="1">0</definedName>
    <definedName name="IQ_YTDMONTH" hidden="1">130000</definedName>
    <definedName name="SHOWSTOP1">Hide!$B$59</definedName>
    <definedName name="SHOWSTOP2">Hide!$B$60</definedName>
    <definedName name="SHOWSTOP3">Hide!$B$61</definedName>
    <definedName name="SHOWSTOP4">Hide!$B$62</definedName>
    <definedName name="SHOWSTOP5">Hide!$B$63</definedName>
    <definedName name="SHOWSTOP6">Hide!$B$64</definedName>
    <definedName name="SPEC1">Hide!$B$46</definedName>
    <definedName name="SPEC2">Hide!$B$47</definedName>
    <definedName name="SPEC3">Hide!$B$48</definedName>
    <definedName name="SPEC4">Hide!$B$49</definedName>
    <definedName name="SPEC5">Hide!$B$50</definedName>
    <definedName name="SPECSCORE">Hide!$B$54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3" l="1"/>
  <c r="C24" i="3"/>
  <c r="D24" i="3"/>
  <c r="B25" i="3"/>
  <c r="C25" i="3"/>
  <c r="D25" i="3"/>
  <c r="B26" i="3"/>
  <c r="C26" i="3"/>
  <c r="D26" i="3"/>
  <c r="B27" i="3"/>
  <c r="C27" i="3"/>
  <c r="D27" i="3"/>
  <c r="B28" i="3"/>
  <c r="C28" i="3"/>
  <c r="D28" i="3"/>
  <c r="B29" i="3"/>
  <c r="C29" i="3"/>
  <c r="D29" i="3"/>
  <c r="B30" i="3"/>
  <c r="C30" i="3"/>
  <c r="D30" i="3"/>
  <c r="B23" i="3"/>
  <c r="C23" i="3"/>
  <c r="D23" i="3"/>
  <c r="A23" i="3"/>
  <c r="A24" i="3"/>
  <c r="A25" i="3"/>
  <c r="A26" i="3"/>
  <c r="A27" i="3"/>
  <c r="A28" i="3"/>
  <c r="A29" i="3"/>
  <c r="A30" i="3"/>
  <c r="A22" i="3"/>
  <c r="D16" i="3"/>
  <c r="D17" i="3"/>
  <c r="D18" i="3"/>
  <c r="D19" i="3"/>
  <c r="D20" i="3"/>
  <c r="D15" i="3"/>
  <c r="C16" i="3"/>
  <c r="C17" i="3"/>
  <c r="C18" i="3"/>
  <c r="C19" i="3"/>
  <c r="C20" i="3"/>
  <c r="C15" i="3"/>
  <c r="B16" i="3"/>
  <c r="B17" i="3"/>
  <c r="B18" i="3"/>
  <c r="B19" i="3"/>
  <c r="B20" i="3"/>
  <c r="B15" i="3"/>
  <c r="A15" i="3"/>
  <c r="A16" i="3"/>
  <c r="A17" i="3"/>
  <c r="A18" i="3"/>
  <c r="A19" i="3"/>
  <c r="A20" i="3"/>
  <c r="A14" i="3"/>
  <c r="A60" i="3"/>
  <c r="B60" i="3"/>
  <c r="E60" i="3" s="1"/>
  <c r="A61" i="3"/>
  <c r="B61" i="3"/>
  <c r="E61" i="3" s="1"/>
  <c r="A62" i="3"/>
  <c r="B62" i="3"/>
  <c r="C69" i="3" s="1"/>
  <c r="A63" i="3"/>
  <c r="B63" i="3"/>
  <c r="E63" i="3" s="1"/>
  <c r="A64" i="3"/>
  <c r="B64" i="3"/>
  <c r="E64" i="3" s="1"/>
  <c r="B59" i="3"/>
  <c r="E59" i="3" s="1"/>
  <c r="A59" i="3"/>
  <c r="C71" i="3" l="1"/>
  <c r="C70" i="3"/>
  <c r="E62" i="3"/>
  <c r="C68" i="3"/>
  <c r="C67" i="3"/>
  <c r="C66" i="3"/>
  <c r="A8" i="3"/>
  <c r="B8" i="3"/>
  <c r="C8" i="3"/>
  <c r="D8" i="3"/>
  <c r="E8" i="3" s="1"/>
  <c r="A9" i="3"/>
  <c r="B9" i="3"/>
  <c r="C9" i="3"/>
  <c r="D9" i="3"/>
  <c r="E9" i="3" s="1"/>
  <c r="A10" i="3"/>
  <c r="B10" i="3"/>
  <c r="C10" i="3"/>
  <c r="D10" i="3"/>
  <c r="E10" i="3" s="1"/>
  <c r="A11" i="3"/>
  <c r="B11" i="3"/>
  <c r="C11" i="3"/>
  <c r="D11" i="3"/>
  <c r="E11" i="3" s="1"/>
  <c r="A12" i="3"/>
  <c r="B12" i="3"/>
  <c r="C12" i="3"/>
  <c r="D12" i="3"/>
  <c r="E12" i="3" s="1"/>
  <c r="E15" i="3"/>
  <c r="E16" i="3"/>
  <c r="E17" i="3"/>
  <c r="E19" i="3"/>
  <c r="E20" i="3"/>
  <c r="E23" i="3"/>
  <c r="E24" i="3"/>
  <c r="E25" i="3"/>
  <c r="E26" i="3"/>
  <c r="E27" i="3"/>
  <c r="E28" i="3"/>
  <c r="E29" i="3"/>
  <c r="E30" i="3"/>
  <c r="A7" i="3"/>
  <c r="F12" i="3" l="1"/>
  <c r="F11" i="7" s="1"/>
  <c r="F8" i="3"/>
  <c r="H15" i="7" s="1"/>
  <c r="G19" i="7"/>
  <c r="G20" i="7"/>
  <c r="F19" i="7"/>
  <c r="G22" i="7"/>
  <c r="G11" i="7"/>
  <c r="F10" i="7"/>
  <c r="C73" i="3"/>
  <c r="E18" i="3"/>
  <c r="F18" i="3" s="1"/>
  <c r="F13" i="7" s="1"/>
  <c r="F16" i="3"/>
  <c r="B40" i="3" s="1"/>
  <c r="C40" i="3" s="1"/>
  <c r="F30" i="3"/>
  <c r="F26" i="3"/>
  <c r="H22" i="7" s="1"/>
  <c r="F28" i="3"/>
  <c r="F11" i="3"/>
  <c r="F9" i="3"/>
  <c r="B35" i="3" s="1"/>
  <c r="C35" i="3" s="1"/>
  <c r="F27" i="3"/>
  <c r="F24" i="7" s="1"/>
  <c r="F10" i="3"/>
  <c r="H16" i="7" s="1"/>
  <c r="F24" i="3"/>
  <c r="F17" i="3"/>
  <c r="F20" i="3"/>
  <c r="F29" i="3"/>
  <c r="F25" i="3"/>
  <c r="F23" i="3"/>
  <c r="H21" i="7" s="1"/>
  <c r="F15" i="3"/>
  <c r="F19" i="3"/>
  <c r="G13" i="7" s="1"/>
  <c r="F21" i="7" l="1"/>
  <c r="H23" i="7"/>
  <c r="F12" i="7"/>
  <c r="F16" i="7"/>
  <c r="H12" i="7"/>
  <c r="F25" i="7"/>
  <c r="G12" i="7"/>
  <c r="G10" i="7"/>
  <c r="G25" i="7"/>
  <c r="G16" i="7"/>
  <c r="G14" i="7"/>
  <c r="B34" i="3"/>
  <c r="C34" i="3" s="1"/>
  <c r="F20" i="7"/>
  <c r="B50" i="3"/>
  <c r="C50" i="3" s="1"/>
  <c r="H11" i="7"/>
  <c r="F15" i="7"/>
  <c r="G15" i="7"/>
  <c r="G24" i="7"/>
  <c r="B36" i="3"/>
  <c r="C36" i="3" s="1"/>
  <c r="H20" i="7"/>
  <c r="H10" i="7"/>
  <c r="H25" i="7"/>
  <c r="H14" i="7"/>
  <c r="H24" i="7"/>
  <c r="F14" i="7"/>
  <c r="F23" i="7"/>
  <c r="H13" i="7"/>
  <c r="B42" i="3"/>
  <c r="C42" i="3" s="1"/>
  <c r="F22" i="7"/>
  <c r="B48" i="3"/>
  <c r="C48" i="3" s="1"/>
  <c r="H19" i="7"/>
  <c r="B46" i="3"/>
  <c r="C46" i="3" s="1"/>
  <c r="G23" i="7"/>
  <c r="B49" i="3"/>
  <c r="C49" i="3" s="1"/>
  <c r="G21" i="7"/>
  <c r="B47" i="3"/>
  <c r="C47" i="3" s="1"/>
  <c r="B41" i="3"/>
  <c r="C41" i="3" s="1"/>
  <c r="B37" i="3"/>
  <c r="C37" i="3" s="1"/>
  <c r="B43" i="3"/>
  <c r="C43" i="3" s="1"/>
  <c r="F26" i="7" l="1"/>
  <c r="G17" i="7"/>
  <c r="F17" i="7"/>
  <c r="H26" i="7"/>
  <c r="H17" i="7"/>
  <c r="G26" i="7"/>
  <c r="B53" i="3"/>
  <c r="C53" i="3" s="1"/>
  <c r="B54" i="3"/>
  <c r="C54" i="3" s="1"/>
</calcChain>
</file>

<file path=xl/sharedStrings.xml><?xml version="1.0" encoding="utf-8"?>
<sst xmlns="http://schemas.openxmlformats.org/spreadsheetml/2006/main" count="152" uniqueCount="81">
  <si>
    <t>Generalized GenAI</t>
  </si>
  <si>
    <t>Critical</t>
  </si>
  <si>
    <t>Important</t>
  </si>
  <si>
    <t>Specialized GenAI</t>
  </si>
  <si>
    <t>Degree of formalized GenAI governance across the non-profit</t>
  </si>
  <si>
    <t>Degree of GenAI literacy of non-profit's staff</t>
  </si>
  <si>
    <t>Process</t>
  </si>
  <si>
    <t>Culture</t>
  </si>
  <si>
    <t>Trust</t>
  </si>
  <si>
    <t>Agency</t>
  </si>
  <si>
    <t>Legal</t>
  </si>
  <si>
    <t>Knowledge</t>
  </si>
  <si>
    <t>People</t>
  </si>
  <si>
    <t>Financial</t>
  </si>
  <si>
    <t>Manageable</t>
  </si>
  <si>
    <t>Weight</t>
  </si>
  <si>
    <t>Generalized GenAI Score</t>
  </si>
  <si>
    <t>Specialized GenAI Score</t>
  </si>
  <si>
    <t>Totals</t>
  </si>
  <si>
    <t>Importance</t>
  </si>
  <si>
    <t>No</t>
  </si>
  <si>
    <t>Generalized GenAI Applications</t>
  </si>
  <si>
    <t>Specialized GenAI Applications</t>
  </si>
  <si>
    <t>Yes</t>
  </si>
  <si>
    <t>Show stoppers</t>
  </si>
  <si>
    <t>Regulatory</t>
  </si>
  <si>
    <t>Probability-Based Decision Making</t>
  </si>
  <si>
    <t>Question</t>
  </si>
  <si>
    <t>Reputational Risk</t>
  </si>
  <si>
    <r>
      <rPr>
        <b/>
        <sz val="11"/>
        <color theme="1"/>
        <rFont val="Aptos Narrow"/>
        <family val="2"/>
        <scheme val="minor"/>
      </rPr>
      <t xml:space="preserve">Readiness </t>
    </r>
    <r>
      <rPr>
        <sz val="11"/>
        <color theme="1"/>
        <rFont val="Aptos Narrow"/>
        <family val="2"/>
        <scheme val="minor"/>
      </rPr>
      <t xml:space="preserve">
1-Not Ready, 
2-Loosely Defined, 
3-Defined &amp; Unmanaged, 
4-Defined &amp; Managed, 
5-Ready</t>
    </r>
  </si>
  <si>
    <t>Categories</t>
  </si>
  <si>
    <t>Non-Profit GenAI Readiness (NPGAR)</t>
  </si>
  <si>
    <t>Response
Yes or No</t>
  </si>
  <si>
    <t>Degree that the non-profit trusts underlying GenAI applications</t>
  </si>
  <si>
    <t>Degree that the non-profit is comfortable giving up agency for a single task or set of tasks in part or in full to a generalized GenAI application</t>
  </si>
  <si>
    <t>Degree that the non-profit is comfortable with the potential negative consequences of a generalized GenAI application owner being sued</t>
  </si>
  <si>
    <r>
      <rPr>
        <b/>
        <sz val="11"/>
        <color theme="1"/>
        <rFont val="Aptos Narrow"/>
        <family val="2"/>
        <scheme val="minor"/>
      </rPr>
      <t>Importance</t>
    </r>
    <r>
      <rPr>
        <sz val="11"/>
        <color theme="1"/>
        <rFont val="Aptos Narrow"/>
        <family val="2"/>
        <scheme val="minor"/>
      </rPr>
      <t xml:space="preserve">
Manageable,
Important,
Critical</t>
    </r>
  </si>
  <si>
    <t>Degree that the non-profit is prepared to dispel the overhead myth with GenAI application investments</t>
  </si>
  <si>
    <t>Degree of understanding of the security &amp; privacy issues associated with using generalized GenAI applications at the non-profit</t>
  </si>
  <si>
    <t>Degree that the non-profit has defined generalized GenAI ethical &amp; appropriate use doctrines and which applications are acceptable</t>
  </si>
  <si>
    <t>Degree that the non-profit has the funds allocated for short-term and long-term specialized GenAI development and maintenance</t>
  </si>
  <si>
    <t>Degree that the non-profit's partners associated with supporting specialized GenAI systems are stable and trustworthy</t>
  </si>
  <si>
    <t>Degree that the non-profit is prepared to give up agency over a single or set of tasks in part or in full due to specialized GenAI application</t>
  </si>
  <si>
    <t>Degree that the non-profit understands transparency, fairness, and equitable issues of the specialized GenAI application</t>
  </si>
  <si>
    <t>Degree that the non-profit is prepared to destroy the specialized GenAI application if it is deemed to have used copyrighted, stolen, or unethically obtained data</t>
  </si>
  <si>
    <t>Degree that the non-profit's staff has the knowledge, skills, and abilities to develop and maintain specialized GenAI applications</t>
  </si>
  <si>
    <t>Degree that the non-profit has the executive sponsorship to support the development of specialized GenAI applications</t>
  </si>
  <si>
    <t>Degree that the non-profit is committed to change its services and work processes using GenAI applications</t>
  </si>
  <si>
    <t>Is the non-profit comfortable with the ethical considerations associated with GenAI technologies?</t>
  </si>
  <si>
    <t>Degree that the non-profit understands the regulatory issues associated with generalized GenAI use</t>
  </si>
  <si>
    <t>Is the non-profit comfortable with the potential reputational harm for using GenAI such that it would hinder their ability to achieve their social or societal mission?</t>
  </si>
  <si>
    <t>Ethical Considerations</t>
  </si>
  <si>
    <t>Is the non-profit comfortable with probabilistic decision making and associated technologies that might hallucinate?</t>
  </si>
  <si>
    <r>
      <t xml:space="preserve">Items for GenAI Technologies
</t>
    </r>
    <r>
      <rPr>
        <i/>
        <sz val="11"/>
        <rFont val="Aptos Narrow"/>
        <family val="2"/>
        <scheme val="minor"/>
      </rPr>
      <t>GenAI technologies are the collection of algorithms, models, and methods to efficiently construct pre-trained transformers and large language models.</t>
    </r>
  </si>
  <si>
    <r>
      <rPr>
        <b/>
        <sz val="11"/>
        <color theme="1"/>
        <rFont val="Aptos Narrow"/>
        <family val="2"/>
        <scheme val="minor"/>
      </rPr>
      <t>GenAI Applications (Generalized &amp; Specialized)</t>
    </r>
    <r>
      <rPr>
        <sz val="11"/>
        <color theme="1"/>
        <rFont val="Aptos Narrow"/>
        <family val="2"/>
        <scheme val="minor"/>
      </rPr>
      <t xml:space="preserve">
</t>
    </r>
    <r>
      <rPr>
        <i/>
        <sz val="11"/>
        <color theme="1"/>
        <rFont val="Aptos Narrow"/>
        <family val="2"/>
        <scheme val="minor"/>
      </rPr>
      <t>Generate new content based on text or non-text prompts</t>
    </r>
  </si>
  <si>
    <r>
      <rPr>
        <b/>
        <sz val="11"/>
        <color theme="1"/>
        <rFont val="Aptos Narrow"/>
        <family val="2"/>
        <scheme val="minor"/>
      </rPr>
      <t xml:space="preserve">Generalized GenAI Applications
</t>
    </r>
    <r>
      <rPr>
        <i/>
        <sz val="11"/>
        <color theme="1"/>
        <rFont val="Aptos Narrow"/>
        <family val="2"/>
        <scheme val="minor"/>
      </rPr>
      <t>These are a “jack of all trades but a master of none” designed to cover a wide range of prompts across many topic areas. Exanples include Gemini, ChatGPT, and Claude.</t>
    </r>
  </si>
  <si>
    <r>
      <rPr>
        <b/>
        <sz val="11"/>
        <color theme="1"/>
        <rFont val="Aptos Narrow"/>
        <family val="2"/>
        <scheme val="minor"/>
      </rPr>
      <t>Specialized GenAI Applications</t>
    </r>
    <r>
      <rPr>
        <sz val="11"/>
        <color theme="1"/>
        <rFont val="Aptos Narrow"/>
        <family val="2"/>
        <scheme val="minor"/>
      </rPr>
      <t xml:space="preserve">
</t>
    </r>
    <r>
      <rPr>
        <i/>
        <sz val="11"/>
        <color theme="1"/>
        <rFont val="Aptos Narrow"/>
        <family val="2"/>
        <scheme val="minor"/>
      </rPr>
      <t xml:space="preserve">These applications have limited scope but have the potential to deliver high quality solutions in their targeted niche. </t>
    </r>
  </si>
  <si>
    <t>Is a key non-profit stakeholder such as a major donor or grant funding organization pressuring the non-profit to use GenAI?</t>
  </si>
  <si>
    <r>
      <t xml:space="preserve">Is a key non-profit stakeholder such as a major donor or grant funding organization pressuring the non-profit to </t>
    </r>
    <r>
      <rPr>
        <b/>
        <i/>
        <u/>
        <sz val="11"/>
        <color theme="1"/>
        <rFont val="Aptos Narrow"/>
        <family val="2"/>
        <scheme val="minor"/>
      </rPr>
      <t>not</t>
    </r>
    <r>
      <rPr>
        <sz val="11"/>
        <color theme="1"/>
        <rFont val="Aptos Narrow"/>
        <family val="2"/>
        <scheme val="minor"/>
      </rPr>
      <t xml:space="preserve"> use GenAI?</t>
    </r>
  </si>
  <si>
    <t>Not Adopting Stakeholder Pressure</t>
  </si>
  <si>
    <t>Adopting Stakeholder Pressure</t>
  </si>
  <si>
    <t>Is the non-profit comfortable with the regulatory uncertainties surrounding GenAI technologies?</t>
  </si>
  <si>
    <t>Degree that the non-profit has legal support to protect its data and intellectual property due to generalized GenAI prompts</t>
  </si>
  <si>
    <t>Degree that the non-profit understands and has the capabilities to manage internal and external data issues (e.g., compensating data sources, quality, access, security, privacy, &amp; cross-jurisdictional)</t>
  </si>
  <si>
    <t>2) Select the DASHBOARD worksheet to view the readiness results. Each time you click on the DASHBOARD worksheet, the dashboard gets refreshed.</t>
  </si>
  <si>
    <t>1) Answer the questions on the INPUTS worksheet. Only modify the cells in light gray.</t>
  </si>
  <si>
    <t>Tool Overview:</t>
  </si>
  <si>
    <t>Excel File Instructions:</t>
  </si>
  <si>
    <t>This tool is designed to assess a non-profit's readiness for GenAI technologies and applications. This tool accounts for the uniqueness of both GenAI and non-profit organizations.</t>
  </si>
  <si>
    <t>Users:</t>
  </si>
  <si>
    <t>Types of Non-Profits:</t>
  </si>
  <si>
    <t>issues associated with GenAI implementations. Many of the questions on our tool may not be relevant for non-profits that only contain one or two people.</t>
  </si>
  <si>
    <t>This tool can be used by any non-profit employee who is involved in the GenAI readiness assessment process at a non-profit organization. We suggest non-profit's seek input from staff across different levels</t>
  </si>
  <si>
    <t>when assessing their GenAI readiness because staff at different levels have different insights regarding the capabilities of the non-profit organization.</t>
  </si>
  <si>
    <t>Step 1: Decide who should be involved in the GenAI readiness assessment process. We recommend that this process include staff at all levels with different responsibilities (e.g., operational, tactical, and strategic).</t>
  </si>
  <si>
    <t>Step 2: Have all individuals involved in the GenAI readiness assessment process answer the questions in this Excel file independently.</t>
  </si>
  <si>
    <t>Step 3: Have each assessor send their results to a coordinator or the person in charge of the GenAI assessment process at the non-profit.</t>
  </si>
  <si>
    <t xml:space="preserve">Step 4: The coordinator should then organize a meeting to debate and discuss the results from each assessor. </t>
  </si>
  <si>
    <t xml:space="preserve">Our tool can be used by any non-profit, but it will be most helpful for non-profit organizations that are large enough to face the many types of people, process, and technology </t>
  </si>
  <si>
    <t>Suggested Process:</t>
  </si>
  <si>
    <t>Following a structured readiness assessment process helps the non-profit identify strengths, gaps, and priorities to maximize potential impact while minimizing risks associated with GenAI implementations.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</si>
</sst>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1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6"/>
      <color theme="0"/>
      <name val="Arial"/>
      <family val="2"/>
    </font>
    <font>
      <sz val="11"/>
      <color theme="1"/>
      <name val="Arial"/>
      <family val="2"/>
    </font>
    <font>
      <sz val="8"/>
      <color rgb="FF000000"/>
      <name val="Segoe UI"/>
      <family val="2"/>
    </font>
    <font>
      <sz val="10"/>
      <color theme="1"/>
      <name val="Ariel"/>
    </font>
    <font>
      <sz val="10"/>
      <name val="Ariel"/>
    </font>
    <font>
      <b/>
      <sz val="10"/>
      <name val="Ariel"/>
    </font>
    <font>
      <b/>
      <sz val="16"/>
      <color theme="1"/>
      <name val="Arial"/>
      <family val="2"/>
    </font>
    <font>
      <i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E0A01"/>
        <bgColor indexed="64"/>
      </patternFill>
    </fill>
    <fill>
      <patternFill patternType="solid">
        <fgColor rgb="FFF5AB23"/>
        <bgColor indexed="64"/>
      </patternFill>
    </fill>
    <fill>
      <patternFill patternType="solid">
        <fgColor rgb="FF00A76D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4" fillId="4" borderId="0" xfId="0" applyFont="1" applyFill="1"/>
    <xf numFmtId="0" fontId="0" fillId="0" borderId="1" xfId="0" applyBorder="1" applyAlignment="1">
      <alignment horizontal="center" vertical="center"/>
    </xf>
    <xf numFmtId="0" fontId="6" fillId="0" borderId="0" xfId="0" applyFont="1"/>
    <xf numFmtId="0" fontId="7" fillId="4" borderId="0" xfId="0" applyFont="1" applyFill="1" applyAlignment="1">
      <alignment vertical="center"/>
    </xf>
    <xf numFmtId="164" fontId="7" fillId="4" borderId="0" xfId="0" applyNumberFormat="1" applyFont="1" applyFill="1" applyAlignment="1" applyProtection="1">
      <alignment horizontal="right"/>
      <protection locked="0"/>
    </xf>
    <xf numFmtId="165" fontId="7" fillId="4" borderId="0" xfId="0" applyNumberFormat="1" applyFont="1" applyFill="1"/>
    <xf numFmtId="164" fontId="6" fillId="4" borderId="0" xfId="0" applyNumberFormat="1" applyFont="1" applyFill="1"/>
    <xf numFmtId="0" fontId="7" fillId="4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7" borderId="0" xfId="0" applyFont="1" applyFill="1"/>
    <xf numFmtId="0" fontId="7" fillId="4" borderId="0" xfId="0" applyFont="1" applyFill="1" applyAlignment="1">
      <alignment horizontal="right" vertical="center"/>
    </xf>
    <xf numFmtId="166" fontId="6" fillId="0" borderId="0" xfId="0" applyNumberFormat="1" applyFo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right"/>
    </xf>
    <xf numFmtId="0" fontId="8" fillId="0" borderId="1" xfId="0" applyFont="1" applyBorder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0" fillId="8" borderId="1" xfId="0" applyFill="1" applyBorder="1" applyAlignment="1" applyProtection="1">
      <alignment horizontal="center" vertical="center"/>
      <protection locked="0"/>
    </xf>
    <xf numFmtId="0" fontId="12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vertical="center" wrapText="1"/>
    </xf>
    <xf numFmtId="0" fontId="0" fillId="0" borderId="1" xfId="0" applyBorder="1" applyAlignment="1" applyProtection="1">
      <alignment wrapText="1"/>
    </xf>
    <xf numFmtId="0" fontId="1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wrapText="1"/>
    </xf>
    <xf numFmtId="0" fontId="0" fillId="2" borderId="1" xfId="0" applyFill="1" applyBorder="1" applyProtection="1"/>
    <xf numFmtId="0" fontId="0" fillId="0" borderId="1" xfId="0" applyBorder="1" applyAlignment="1" applyProtection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107950</xdr:rowOff>
    </xdr:from>
    <xdr:to>
      <xdr:col>1</xdr:col>
      <xdr:colOff>876300</xdr:colOff>
      <xdr:row>6</xdr:row>
      <xdr:rowOff>107949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65100" y="361950"/>
          <a:ext cx="838200" cy="1841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t">
          <a:noAutofit/>
        </a:bodyPr>
        <a:lstStyle/>
        <a:p>
          <a:pPr algn="l"/>
          <a:r>
            <a:rPr lang="en-US" sz="800" b="1">
              <a:solidFill>
                <a:srgbClr val="DE0A01"/>
              </a:solidFill>
              <a:latin typeface="Arial" panose="020B0604020202020204" pitchFamily="34" charset="0"/>
              <a:cs typeface="Arial" panose="020B0604020202020204" pitchFamily="34" charset="0"/>
            </a:rPr>
            <a:t>Not</a:t>
          </a:r>
          <a:r>
            <a:rPr lang="en-US" sz="800" b="1" baseline="0">
              <a:solidFill>
                <a:srgbClr val="DE0A01"/>
              </a:solidFill>
              <a:latin typeface="Arial" panose="020B0604020202020204" pitchFamily="34" charset="0"/>
              <a:cs typeface="Arial" panose="020B0604020202020204" pitchFamily="34" charset="0"/>
            </a:rPr>
            <a:t> Ready</a:t>
          </a:r>
          <a:endParaRPr lang="en-US" sz="800" b="1">
            <a:solidFill>
              <a:srgbClr val="DE0A0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7042151</xdr:colOff>
      <xdr:row>5</xdr:row>
      <xdr:rowOff>127239</xdr:rowOff>
    </xdr:from>
    <xdr:to>
      <xdr:col>1</xdr:col>
      <xdr:colOff>7734519</xdr:colOff>
      <xdr:row>6</xdr:row>
      <xdr:rowOff>146051</xdr:rowOff>
    </xdr:to>
    <xdr:sp macro="" textlink="">
      <xdr:nvSpPr>
        <xdr:cNvPr id="5" name="TextBox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169151" y="381239"/>
          <a:ext cx="692368" cy="2029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rIns="0" rtlCol="0" anchor="t">
          <a:noAutofit/>
        </a:bodyPr>
        <a:lstStyle/>
        <a:p>
          <a:pPr algn="r"/>
          <a:r>
            <a:rPr lang="en-US" sz="800" b="1">
              <a:solidFill>
                <a:srgbClr val="00A76D"/>
              </a:solidFill>
              <a:latin typeface="Arial" panose="020B0604020202020204" pitchFamily="34" charset="0"/>
              <a:cs typeface="Arial" panose="020B0604020202020204" pitchFamily="34" charset="0"/>
            </a:rPr>
            <a:t>Ready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7</xdr:row>
          <xdr:rowOff>69850</xdr:rowOff>
        </xdr:from>
        <xdr:to>
          <xdr:col>3</xdr:col>
          <xdr:colOff>6350</xdr:colOff>
          <xdr:row>26</xdr:row>
          <xdr:rowOff>6350</xdr:rowOff>
        </xdr:to>
        <xdr:sp macro="" textlink="">
          <xdr:nvSpPr>
            <xdr:cNvPr id="6146" name="Group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Both Categories of GenAI Applications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19050</xdr:rowOff>
        </xdr:from>
        <xdr:to>
          <xdr:col>1</xdr:col>
          <xdr:colOff>7816850</xdr:colOff>
          <xdr:row>18</xdr:row>
          <xdr:rowOff>88900</xdr:rowOff>
        </xdr:to>
        <xdr:sp macro="" textlink="">
          <xdr:nvSpPr>
            <xdr:cNvPr id="6147" name="Group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Generalized GenAI Applications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19</xdr:row>
          <xdr:rowOff>12700</xdr:rowOff>
        </xdr:from>
        <xdr:to>
          <xdr:col>1</xdr:col>
          <xdr:colOff>7810500</xdr:colOff>
          <xdr:row>25</xdr:row>
          <xdr:rowOff>88900</xdr:rowOff>
        </xdr:to>
        <xdr:sp macro="" textlink="">
          <xdr:nvSpPr>
            <xdr:cNvPr id="6148" name="Group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Specialized GenAI Applications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50800</xdr:colOff>
      <xdr:row>13</xdr:row>
      <xdr:rowOff>138821</xdr:rowOff>
    </xdr:from>
    <xdr:to>
      <xdr:col>1</xdr:col>
      <xdr:colOff>7759918</xdr:colOff>
      <xdr:row>14</xdr:row>
      <xdr:rowOff>120650</xdr:rowOff>
    </xdr:to>
    <xdr:sp macro="" textlink="DISP6">
      <xdr:nvSpPr>
        <xdr:cNvPr id="8" name="Rectangle 10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77800" y="288202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8F4139E2-E648-4C12-B655-017A3338C15F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Agency: 4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1162050</xdr:colOff>
      <xdr:row>5</xdr:row>
      <xdr:rowOff>146051</xdr:rowOff>
    </xdr:from>
    <xdr:to>
      <xdr:col>1</xdr:col>
      <xdr:colOff>3289300</xdr:colOff>
      <xdr:row>6</xdr:row>
      <xdr:rowOff>120650</xdr:rowOff>
    </xdr:to>
    <xdr:sp macro="" textlink="Hide!C53">
      <xdr:nvSpPr>
        <xdr:cNvPr id="9" name="Rectangle 500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289050" y="400051"/>
          <a:ext cx="2127250" cy="158749"/>
        </a:xfrm>
        <a:prstGeom prst="rect">
          <a:avLst/>
        </a:prstGeom>
        <a:solidFill>
          <a:srgbClr val="F5AB23"/>
        </a:solidFill>
      </xdr:spPr>
      <xdr:txBody>
        <a:bodyPr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fld id="{81CB3069-6B2B-45EF-9E3E-B62E6A0FB62C}" type="TxLink">
            <a:rPr lang="en-US" sz="1000" b="0" i="0" u="none" strike="noStrike" kern="1200" baseline="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Generalized GenAI Score: 2.9</a:t>
          </a:fld>
          <a:endParaRPr lang="en-US" sz="800" b="1" kern="1200">
            <a:solidFill>
              <a:srgbClr val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14</xdr:row>
      <xdr:rowOff>164221</xdr:rowOff>
    </xdr:from>
    <xdr:to>
      <xdr:col>1</xdr:col>
      <xdr:colOff>7759918</xdr:colOff>
      <xdr:row>15</xdr:row>
      <xdr:rowOff>146050</xdr:rowOff>
    </xdr:to>
    <xdr:sp macro="" textlink="DISP7">
      <xdr:nvSpPr>
        <xdr:cNvPr id="10" name="Rectangle 10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77800" y="309157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31365068-2778-4937-8493-2BF31D7555FB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Knowledge: 2.8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19</xdr:row>
      <xdr:rowOff>119771</xdr:rowOff>
    </xdr:from>
    <xdr:to>
      <xdr:col>1</xdr:col>
      <xdr:colOff>7759918</xdr:colOff>
      <xdr:row>20</xdr:row>
      <xdr:rowOff>101600</xdr:rowOff>
    </xdr:to>
    <xdr:sp macro="" textlink="DISP11">
      <xdr:nvSpPr>
        <xdr:cNvPr id="12" name="Rectangle 1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77800" y="396787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27FF3095-7160-403B-B9A7-8587C9E274A7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Agency: 4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4699000</xdr:colOff>
      <xdr:row>5</xdr:row>
      <xdr:rowOff>146051</xdr:rowOff>
    </xdr:from>
    <xdr:to>
      <xdr:col>1</xdr:col>
      <xdr:colOff>6826250</xdr:colOff>
      <xdr:row>6</xdr:row>
      <xdr:rowOff>120650</xdr:rowOff>
    </xdr:to>
    <xdr:sp macro="" textlink="Hide!C54">
      <xdr:nvSpPr>
        <xdr:cNvPr id="13" name="Rectangle 50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826000" y="400051"/>
          <a:ext cx="2127250" cy="158749"/>
        </a:xfrm>
        <a:prstGeom prst="rect">
          <a:avLst/>
        </a:prstGeom>
        <a:solidFill>
          <a:srgbClr val="F5AB23"/>
        </a:solidFill>
      </xdr:spPr>
      <xdr:txBody>
        <a:bodyPr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fld id="{DC48BAAB-2BD0-44D9-9BC5-27E0AEAAE84D}" type="TxLink">
            <a:rPr lang="en-US" sz="1000" b="0" i="0" u="none" strike="noStrike" kern="1200" baseline="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Specialized GenAI Score: 3.11</a:t>
          </a:fld>
          <a:endParaRPr lang="en-US" sz="800" b="1" kern="1200">
            <a:solidFill>
              <a:srgbClr val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20</xdr:row>
      <xdr:rowOff>138821</xdr:rowOff>
    </xdr:from>
    <xdr:to>
      <xdr:col>1</xdr:col>
      <xdr:colOff>7759918</xdr:colOff>
      <xdr:row>21</xdr:row>
      <xdr:rowOff>120650</xdr:rowOff>
    </xdr:to>
    <xdr:sp macro="" textlink="DISP12">
      <xdr:nvSpPr>
        <xdr:cNvPr id="14" name="Rectangle 1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77800" y="417107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C232D80E-2F26-43D0-841D-6ABC33BA20A4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Financial: 1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21</xdr:row>
      <xdr:rowOff>157871</xdr:rowOff>
    </xdr:from>
    <xdr:to>
      <xdr:col>1</xdr:col>
      <xdr:colOff>7759918</xdr:colOff>
      <xdr:row>22</xdr:row>
      <xdr:rowOff>139700</xdr:rowOff>
    </xdr:to>
    <xdr:sp macro="" textlink="DISP13">
      <xdr:nvSpPr>
        <xdr:cNvPr id="15" name="Rectangle 1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77800" y="437427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0E20481F-10BF-4A87-B6D6-74AB538AF7DB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Knowledge: 5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22</xdr:row>
      <xdr:rowOff>176921</xdr:rowOff>
    </xdr:from>
    <xdr:to>
      <xdr:col>1</xdr:col>
      <xdr:colOff>7759918</xdr:colOff>
      <xdr:row>23</xdr:row>
      <xdr:rowOff>158750</xdr:rowOff>
    </xdr:to>
    <xdr:sp macro="" textlink="DISP14">
      <xdr:nvSpPr>
        <xdr:cNvPr id="16" name="Rectangle 1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77800" y="457747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089A8545-7E42-4A7A-8B7E-2C6811C5DC6C}" type="TxLink">
            <a:rPr lang="en-US" sz="1000" b="0" i="0" u="none" strike="noStrike" kern="1200" baseline="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People: 2.5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16</xdr:row>
      <xdr:rowOff>5471</xdr:rowOff>
    </xdr:from>
    <xdr:to>
      <xdr:col>1</xdr:col>
      <xdr:colOff>7759918</xdr:colOff>
      <xdr:row>16</xdr:row>
      <xdr:rowOff>171450</xdr:rowOff>
    </xdr:to>
    <xdr:sp macro="" textlink="DISP8">
      <xdr:nvSpPr>
        <xdr:cNvPr id="17" name="Rectangle 11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77800" y="330112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069A73B2-1494-40AF-B9E3-E81EFE65DA20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Legal: 2.4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8</xdr:row>
      <xdr:rowOff>37221</xdr:rowOff>
    </xdr:from>
    <xdr:to>
      <xdr:col>1</xdr:col>
      <xdr:colOff>7759918</xdr:colOff>
      <xdr:row>9</xdr:row>
      <xdr:rowOff>19050</xdr:rowOff>
    </xdr:to>
    <xdr:sp macro="" textlink="DISP1">
      <xdr:nvSpPr>
        <xdr:cNvPr id="18" name="Rectangle 10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177800" y="185967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81260B1F-9137-4286-8FA5-793E9667CC96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Culture: 5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9</xdr:row>
      <xdr:rowOff>56271</xdr:rowOff>
    </xdr:from>
    <xdr:to>
      <xdr:col>1</xdr:col>
      <xdr:colOff>7759918</xdr:colOff>
      <xdr:row>10</xdr:row>
      <xdr:rowOff>38100</xdr:rowOff>
    </xdr:to>
    <xdr:sp macro="" textlink="DISP3">
      <xdr:nvSpPr>
        <xdr:cNvPr id="20" name="Rectangle 104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77800" y="206287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3344789B-B388-438A-AD6C-806B5890B138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People: 2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10</xdr:row>
      <xdr:rowOff>81671</xdr:rowOff>
    </xdr:from>
    <xdr:to>
      <xdr:col>1</xdr:col>
      <xdr:colOff>7759918</xdr:colOff>
      <xdr:row>11</xdr:row>
      <xdr:rowOff>63500</xdr:rowOff>
    </xdr:to>
    <xdr:sp macro="" textlink="DISP4">
      <xdr:nvSpPr>
        <xdr:cNvPr id="2" name="Rectangle 10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7800" y="227242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3565229D-4725-4A3A-B735-418B16AFB933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Process: 3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11</xdr:row>
      <xdr:rowOff>107071</xdr:rowOff>
    </xdr:from>
    <xdr:to>
      <xdr:col>1</xdr:col>
      <xdr:colOff>7759918</xdr:colOff>
      <xdr:row>12</xdr:row>
      <xdr:rowOff>88900</xdr:rowOff>
    </xdr:to>
    <xdr:sp macro="" textlink="DISP5">
      <xdr:nvSpPr>
        <xdr:cNvPr id="4" name="Rectangle 106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77800" y="248197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CB1A239C-BA8C-4C75-AB0E-3444A942EE32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Trust: 3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17</xdr:row>
      <xdr:rowOff>37221</xdr:rowOff>
    </xdr:from>
    <xdr:to>
      <xdr:col>1</xdr:col>
      <xdr:colOff>7759918</xdr:colOff>
      <xdr:row>18</xdr:row>
      <xdr:rowOff>19050</xdr:rowOff>
    </xdr:to>
    <xdr:sp macro="" textlink="DISP10">
      <xdr:nvSpPr>
        <xdr:cNvPr id="6" name="Rectangle 11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77800" y="351702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82061CB7-B5C2-4201-8705-F0861BE45652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Process: 1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24</xdr:row>
      <xdr:rowOff>18171</xdr:rowOff>
    </xdr:from>
    <xdr:to>
      <xdr:col>1</xdr:col>
      <xdr:colOff>7759918</xdr:colOff>
      <xdr:row>25</xdr:row>
      <xdr:rowOff>0</xdr:rowOff>
    </xdr:to>
    <xdr:sp macro="" textlink="DISP15">
      <xdr:nvSpPr>
        <xdr:cNvPr id="23" name="Rectangle 11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77800" y="4787021"/>
          <a:ext cx="7709118" cy="165979"/>
        </a:xfrm>
        <a:prstGeom prst="rect">
          <a:avLst/>
        </a:prstGeom>
        <a:gradFill flip="none" rotWithShape="1">
          <a:gsLst>
            <a:gs pos="26000">
              <a:srgbClr val="F5AB23"/>
            </a:gs>
            <a:gs pos="5000">
              <a:srgbClr val="DE0A01"/>
            </a:gs>
            <a:gs pos="73000">
              <a:srgbClr val="F5AB23"/>
            </a:gs>
            <a:gs pos="95000">
              <a:srgbClr val="00A76D"/>
            </a:gs>
          </a:gsLst>
          <a:lin ang="0" scaled="1"/>
          <a:tileRect/>
        </a:gradFill>
      </xdr:spPr>
      <xdr:txBody>
        <a:bodyPr wrap="square" anchor="ctr">
          <a:noAutofit/>
        </a:bodyPr>
        <a:lstStyle/>
        <a:p>
          <a:pPr marL="0" indent="0" algn="ctr" defTabSz="914400" rtl="0" eaLnBrk="1" latinLnBrk="0" hangingPunct="1"/>
          <a:fld id="{F145F88D-F7FB-4CA1-BCB8-0841C27F88BD}" type="TxLink">
            <a:rPr lang="en-US" sz="1000" b="0" i="0" u="none" strike="noStrike" kern="120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Process: 2.4</a:t>
          </a:fld>
          <a:endParaRPr lang="en-US" sz="800" b="1" i="0" u="none" strike="noStrike" kern="12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3860800</xdr:colOff>
      <xdr:row>11</xdr:row>
      <xdr:rowOff>95250</xdr:rowOff>
    </xdr:from>
    <xdr:to>
      <xdr:col>1</xdr:col>
      <xdr:colOff>3930650</xdr:colOff>
      <xdr:row>12</xdr:row>
      <xdr:rowOff>93980</xdr:rowOff>
    </xdr:to>
    <xdr:sp macro="" textlink="" fLocksText="0">
      <xdr:nvSpPr>
        <xdr:cNvPr id="27" name="Rectangle 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gray">
        <a:xfrm>
          <a:off x="3987800" y="24701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3435350</xdr:colOff>
          <xdr:row>1</xdr:row>
          <xdr:rowOff>114300</xdr:rowOff>
        </xdr:from>
        <xdr:to>
          <xdr:col>5</xdr:col>
          <xdr:colOff>184150</xdr:colOff>
          <xdr:row>4</xdr:row>
          <xdr:rowOff>247650</xdr:rowOff>
        </xdr:to>
        <xdr:sp macro="" textlink="">
          <xdr:nvSpPr>
            <xdr:cNvPr id="6149" name="Group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GenAI Technologies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3524250</xdr:colOff>
      <xdr:row>1</xdr:row>
      <xdr:rowOff>234951</xdr:rowOff>
    </xdr:from>
    <xdr:to>
      <xdr:col>1</xdr:col>
      <xdr:colOff>6419850</xdr:colOff>
      <xdr:row>2</xdr:row>
      <xdr:rowOff>184150</xdr:rowOff>
    </xdr:to>
    <xdr:sp macro="" textlink="Hide!C66">
      <xdr:nvSpPr>
        <xdr:cNvPr id="7" name="Rectangle 50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651250" y="488951"/>
          <a:ext cx="2895600" cy="203199"/>
        </a:xfrm>
        <a:prstGeom prst="rect">
          <a:avLst/>
        </a:prstGeom>
        <a:solidFill>
          <a:srgbClr val="00A76D"/>
        </a:solidFill>
      </xdr:spPr>
      <xdr:txBody>
        <a:bodyPr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fld id="{66C3BC01-F8F6-48FC-B797-A6513E52FE12}" type="TxLink">
            <a:rPr lang="en-US" sz="1000" b="0" i="0" u="none" strike="noStrike" kern="1200" baseline="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Probability-Based Decision Making: Ready</a:t>
          </a:fld>
          <a:endParaRPr lang="en-US" sz="800" b="1" kern="1200">
            <a:solidFill>
              <a:srgbClr val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3530600</xdr:colOff>
      <xdr:row>2</xdr:row>
      <xdr:rowOff>215900</xdr:rowOff>
    </xdr:from>
    <xdr:to>
      <xdr:col>1</xdr:col>
      <xdr:colOff>6429248</xdr:colOff>
      <xdr:row>3</xdr:row>
      <xdr:rowOff>163068</xdr:rowOff>
    </xdr:to>
    <xdr:sp macro="" textlink="Hide!C67">
      <xdr:nvSpPr>
        <xdr:cNvPr id="22" name="Rectangle 50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3657600" y="723900"/>
          <a:ext cx="2898648" cy="201168"/>
        </a:xfrm>
        <a:prstGeom prst="rect">
          <a:avLst/>
        </a:prstGeom>
        <a:solidFill>
          <a:srgbClr val="DE0A01"/>
        </a:solidFill>
      </xdr:spPr>
      <xdr:txBody>
        <a:bodyPr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fld id="{B4094792-5BC6-46F8-9D27-E5FC80E6DD18}" type="TxLink">
            <a:rPr lang="en-US" sz="1000" b="0" i="0" u="none" strike="noStrike" kern="1200" baseline="0">
              <a:solidFill>
                <a:srgbClr val="FFFFFF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Ethical Considerations: Not Ready</a:t>
          </a:fld>
          <a:endParaRPr lang="en-US" sz="800" b="1" kern="1200">
            <a:solidFill>
              <a:srgbClr val="FFFFFF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3530600</xdr:colOff>
      <xdr:row>3</xdr:row>
      <xdr:rowOff>196851</xdr:rowOff>
    </xdr:from>
    <xdr:to>
      <xdr:col>1</xdr:col>
      <xdr:colOff>6429248</xdr:colOff>
      <xdr:row>4</xdr:row>
      <xdr:rowOff>144019</xdr:rowOff>
    </xdr:to>
    <xdr:sp macro="" textlink="Hide!C68">
      <xdr:nvSpPr>
        <xdr:cNvPr id="38" name="Rectangle 504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3657600" y="958851"/>
          <a:ext cx="2898648" cy="201168"/>
        </a:xfrm>
        <a:prstGeom prst="rect">
          <a:avLst/>
        </a:prstGeom>
        <a:solidFill>
          <a:srgbClr val="00A76D"/>
        </a:solidFill>
      </xdr:spPr>
      <xdr:txBody>
        <a:bodyPr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fld id="{05256484-D3BD-4087-9277-F57C6B4DEF10}" type="TxLink">
            <a:rPr lang="en-US" sz="1000" b="0" i="0" u="none" strike="noStrike" kern="1200" baseline="0">
              <a:solidFill>
                <a:srgbClr val="000000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Regulatory: Ready</a:t>
          </a:fld>
          <a:endParaRPr lang="en-US" sz="800" b="1" kern="1200">
            <a:solidFill>
              <a:srgbClr val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6470650</xdr:colOff>
      <xdr:row>1</xdr:row>
      <xdr:rowOff>234951</xdr:rowOff>
    </xdr:from>
    <xdr:to>
      <xdr:col>5</xdr:col>
      <xdr:colOff>91948</xdr:colOff>
      <xdr:row>2</xdr:row>
      <xdr:rowOff>182119</xdr:rowOff>
    </xdr:to>
    <xdr:sp macro="" textlink="Hide!C69">
      <xdr:nvSpPr>
        <xdr:cNvPr id="39" name="Rectangle 505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6597650" y="488951"/>
          <a:ext cx="2898648" cy="201168"/>
        </a:xfrm>
        <a:prstGeom prst="rect">
          <a:avLst/>
        </a:prstGeom>
        <a:solidFill>
          <a:srgbClr val="DE0A01"/>
        </a:solidFill>
      </xdr:spPr>
      <xdr:txBody>
        <a:bodyPr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fld id="{ACBBC2E4-4347-459E-AAD2-DB919417742E}" type="TxLink">
            <a:rPr lang="en-US" sz="1000" b="0" i="0" u="none" strike="noStrike" kern="1200" baseline="0">
              <a:solidFill>
                <a:srgbClr val="FFFFFF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Adopting Stakeholder Pressure: Not Ready</a:t>
          </a:fld>
          <a:endParaRPr lang="en-US" sz="800" b="1" kern="1200">
            <a:solidFill>
              <a:srgbClr val="FFFFFF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6470650</xdr:colOff>
      <xdr:row>2</xdr:row>
      <xdr:rowOff>215901</xdr:rowOff>
    </xdr:from>
    <xdr:to>
      <xdr:col>5</xdr:col>
      <xdr:colOff>91948</xdr:colOff>
      <xdr:row>3</xdr:row>
      <xdr:rowOff>163069</xdr:rowOff>
    </xdr:to>
    <xdr:sp macro="" textlink="Hide!C70">
      <xdr:nvSpPr>
        <xdr:cNvPr id="40" name="Rectangle 506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6597650" y="723901"/>
          <a:ext cx="2898648" cy="201168"/>
        </a:xfrm>
        <a:prstGeom prst="rect">
          <a:avLst/>
        </a:prstGeom>
        <a:solidFill>
          <a:srgbClr val="DE0A01"/>
        </a:solidFill>
      </xdr:spPr>
      <xdr:txBody>
        <a:bodyPr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fld id="{6FEA5E26-80C1-4D36-92B3-704F2B1FDEE6}" type="TxLink">
            <a:rPr lang="en-US" sz="1000" b="0" i="0" u="none" strike="noStrike" kern="1200" baseline="0">
              <a:solidFill>
                <a:srgbClr val="FFFFFF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Not Adopting Stakeholder Pressure: Not Ready</a:t>
          </a:fld>
          <a:endParaRPr lang="en-US" sz="800" b="1" kern="1200">
            <a:solidFill>
              <a:srgbClr val="FFFFFF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6477000</xdr:colOff>
      <xdr:row>3</xdr:row>
      <xdr:rowOff>196851</xdr:rowOff>
    </xdr:from>
    <xdr:to>
      <xdr:col>5</xdr:col>
      <xdr:colOff>98298</xdr:colOff>
      <xdr:row>4</xdr:row>
      <xdr:rowOff>144019</xdr:rowOff>
    </xdr:to>
    <xdr:sp macro="" textlink="Hide!C71">
      <xdr:nvSpPr>
        <xdr:cNvPr id="41" name="Rectangle 507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6604000" y="958851"/>
          <a:ext cx="2898648" cy="201168"/>
        </a:xfrm>
        <a:prstGeom prst="rect">
          <a:avLst/>
        </a:prstGeom>
        <a:solidFill>
          <a:srgbClr val="DE0A01"/>
        </a:solidFill>
      </xdr:spPr>
      <xdr:txBody>
        <a:bodyPr wrap="square" anchor="ctr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fld id="{CFADE7F6-295A-4545-B66A-DD254BAF86C9}" type="TxLink">
            <a:rPr lang="en-US" sz="1000" b="0" i="0" u="none" strike="noStrike" kern="1200" baseline="0">
              <a:solidFill>
                <a:srgbClr val="FFFFFF"/>
              </a:solidFill>
              <a:latin typeface="Ariel"/>
              <a:ea typeface="+mn-ea"/>
              <a:cs typeface="Arial" panose="020B0604020202020204" pitchFamily="34" charset="0"/>
            </a:rPr>
            <a:pPr marL="0" indent="0" algn="ctr" defTabSz="914400" rtl="0" eaLnBrk="1" latinLnBrk="0" hangingPunct="1"/>
            <a:t>Reputational Risk: Not Ready</a:t>
          </a:fld>
          <a:endParaRPr lang="en-US" sz="800" b="1" kern="1200">
            <a:solidFill>
              <a:srgbClr val="FFFFFF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7670800</xdr:colOff>
      <xdr:row>8</xdr:row>
      <xdr:rowOff>25400</xdr:rowOff>
    </xdr:from>
    <xdr:to>
      <xdr:col>1</xdr:col>
      <xdr:colOff>7740650</xdr:colOff>
      <xdr:row>9</xdr:row>
      <xdr:rowOff>24130</xdr:rowOff>
    </xdr:to>
    <xdr:sp macro="" textlink="" fLocksText="0">
      <xdr:nvSpPr>
        <xdr:cNvPr id="11" name="Rectangle 3">
          <a:extLst>
            <a:ext uri="{FF2B5EF4-FFF2-40B4-BE49-F238E27FC236}">
              <a16:creationId xmlns:a16="http://schemas.microsoft.com/office/drawing/2014/main" id="{70433A36-B877-40AE-B50E-85B8DFA55E56}"/>
            </a:ext>
          </a:extLst>
        </xdr:cNvPr>
        <xdr:cNvSpPr/>
      </xdr:nvSpPr>
      <xdr:spPr bwMode="gray">
        <a:xfrm>
          <a:off x="7797800" y="18478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1955800</xdr:colOff>
      <xdr:row>9</xdr:row>
      <xdr:rowOff>44450</xdr:rowOff>
    </xdr:from>
    <xdr:to>
      <xdr:col>1</xdr:col>
      <xdr:colOff>2025650</xdr:colOff>
      <xdr:row>10</xdr:row>
      <xdr:rowOff>43180</xdr:rowOff>
    </xdr:to>
    <xdr:sp macro="" textlink="" fLocksText="0">
      <xdr:nvSpPr>
        <xdr:cNvPr id="24" name="Rectangle 4">
          <a:extLst>
            <a:ext uri="{FF2B5EF4-FFF2-40B4-BE49-F238E27FC236}">
              <a16:creationId xmlns:a16="http://schemas.microsoft.com/office/drawing/2014/main" id="{20E6F8D7-EEBA-46E9-9DEE-C456E216677B}"/>
            </a:ext>
          </a:extLst>
        </xdr:cNvPr>
        <xdr:cNvSpPr/>
      </xdr:nvSpPr>
      <xdr:spPr bwMode="gray">
        <a:xfrm>
          <a:off x="2082800" y="20510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3860800</xdr:colOff>
      <xdr:row>10</xdr:row>
      <xdr:rowOff>69850</xdr:rowOff>
    </xdr:from>
    <xdr:to>
      <xdr:col>1</xdr:col>
      <xdr:colOff>3930650</xdr:colOff>
      <xdr:row>11</xdr:row>
      <xdr:rowOff>68580</xdr:rowOff>
    </xdr:to>
    <xdr:sp macro="" textlink="" fLocksText="0">
      <xdr:nvSpPr>
        <xdr:cNvPr id="31" name="Rectangle 5">
          <a:extLst>
            <a:ext uri="{FF2B5EF4-FFF2-40B4-BE49-F238E27FC236}">
              <a16:creationId xmlns:a16="http://schemas.microsoft.com/office/drawing/2014/main" id="{936FF570-E043-440F-99A2-D354A932516A}"/>
            </a:ext>
          </a:extLst>
        </xdr:cNvPr>
        <xdr:cNvSpPr/>
      </xdr:nvSpPr>
      <xdr:spPr bwMode="gray">
        <a:xfrm>
          <a:off x="3987800" y="226060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5765800</xdr:colOff>
      <xdr:row>13</xdr:row>
      <xdr:rowOff>133350</xdr:rowOff>
    </xdr:from>
    <xdr:to>
      <xdr:col>1</xdr:col>
      <xdr:colOff>5835650</xdr:colOff>
      <xdr:row>14</xdr:row>
      <xdr:rowOff>132080</xdr:rowOff>
    </xdr:to>
    <xdr:sp macro="" textlink="" fLocksText="0">
      <xdr:nvSpPr>
        <xdr:cNvPr id="42" name="Rectangle 7">
          <a:extLst>
            <a:ext uri="{FF2B5EF4-FFF2-40B4-BE49-F238E27FC236}">
              <a16:creationId xmlns:a16="http://schemas.microsoft.com/office/drawing/2014/main" id="{F4D58EBC-CE30-491A-885C-7B242059333B}"/>
            </a:ext>
          </a:extLst>
        </xdr:cNvPr>
        <xdr:cNvSpPr/>
      </xdr:nvSpPr>
      <xdr:spPr bwMode="gray">
        <a:xfrm>
          <a:off x="5892800" y="28765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3479800</xdr:colOff>
      <xdr:row>14</xdr:row>
      <xdr:rowOff>158750</xdr:rowOff>
    </xdr:from>
    <xdr:to>
      <xdr:col>1</xdr:col>
      <xdr:colOff>3549650</xdr:colOff>
      <xdr:row>15</xdr:row>
      <xdr:rowOff>157480</xdr:rowOff>
    </xdr:to>
    <xdr:sp macro="" textlink="" fLocksText="0">
      <xdr:nvSpPr>
        <xdr:cNvPr id="43" name="Rectangle 8">
          <a:extLst>
            <a:ext uri="{FF2B5EF4-FFF2-40B4-BE49-F238E27FC236}">
              <a16:creationId xmlns:a16="http://schemas.microsoft.com/office/drawing/2014/main" id="{B94867EE-5CDF-4FA7-839F-756966037139}"/>
            </a:ext>
          </a:extLst>
        </xdr:cNvPr>
        <xdr:cNvSpPr/>
      </xdr:nvSpPr>
      <xdr:spPr bwMode="gray">
        <a:xfrm>
          <a:off x="3606800" y="308610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2717800</xdr:colOff>
      <xdr:row>16</xdr:row>
      <xdr:rowOff>0</xdr:rowOff>
    </xdr:from>
    <xdr:to>
      <xdr:col>1</xdr:col>
      <xdr:colOff>2787650</xdr:colOff>
      <xdr:row>16</xdr:row>
      <xdr:rowOff>182880</xdr:rowOff>
    </xdr:to>
    <xdr:sp macro="" textlink="" fLocksText="0">
      <xdr:nvSpPr>
        <xdr:cNvPr id="44" name="Rectangle 9">
          <a:extLst>
            <a:ext uri="{FF2B5EF4-FFF2-40B4-BE49-F238E27FC236}">
              <a16:creationId xmlns:a16="http://schemas.microsoft.com/office/drawing/2014/main" id="{96AFB4A0-38C6-4100-9CA8-CCB39611CFA4}"/>
            </a:ext>
          </a:extLst>
        </xdr:cNvPr>
        <xdr:cNvSpPr/>
      </xdr:nvSpPr>
      <xdr:spPr bwMode="gray">
        <a:xfrm>
          <a:off x="2844800" y="32956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17</xdr:row>
      <xdr:rowOff>25400</xdr:rowOff>
    </xdr:from>
    <xdr:to>
      <xdr:col>1</xdr:col>
      <xdr:colOff>120650</xdr:colOff>
      <xdr:row>18</xdr:row>
      <xdr:rowOff>24130</xdr:rowOff>
    </xdr:to>
    <xdr:sp macro="" textlink="" fLocksText="0">
      <xdr:nvSpPr>
        <xdr:cNvPr id="45" name="Rectangle 10">
          <a:extLst>
            <a:ext uri="{FF2B5EF4-FFF2-40B4-BE49-F238E27FC236}">
              <a16:creationId xmlns:a16="http://schemas.microsoft.com/office/drawing/2014/main" id="{DF8A24AD-E7F4-43E0-9A61-05541B4BCA87}"/>
            </a:ext>
          </a:extLst>
        </xdr:cNvPr>
        <xdr:cNvSpPr/>
      </xdr:nvSpPr>
      <xdr:spPr bwMode="gray">
        <a:xfrm>
          <a:off x="177800" y="350520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5765800</xdr:colOff>
      <xdr:row>19</xdr:row>
      <xdr:rowOff>107950</xdr:rowOff>
    </xdr:from>
    <xdr:to>
      <xdr:col>1</xdr:col>
      <xdr:colOff>5835650</xdr:colOff>
      <xdr:row>20</xdr:row>
      <xdr:rowOff>106680</xdr:rowOff>
    </xdr:to>
    <xdr:sp macro="" textlink="" fLocksText="0">
      <xdr:nvSpPr>
        <xdr:cNvPr id="46" name="Rectangle 11">
          <a:extLst>
            <a:ext uri="{FF2B5EF4-FFF2-40B4-BE49-F238E27FC236}">
              <a16:creationId xmlns:a16="http://schemas.microsoft.com/office/drawing/2014/main" id="{36990599-3942-48F4-A297-2FD68AEEB1A5}"/>
            </a:ext>
          </a:extLst>
        </xdr:cNvPr>
        <xdr:cNvSpPr/>
      </xdr:nvSpPr>
      <xdr:spPr bwMode="gray">
        <a:xfrm>
          <a:off x="5892800" y="39560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50800</xdr:colOff>
      <xdr:row>20</xdr:row>
      <xdr:rowOff>127000</xdr:rowOff>
    </xdr:from>
    <xdr:to>
      <xdr:col>1</xdr:col>
      <xdr:colOff>120650</xdr:colOff>
      <xdr:row>21</xdr:row>
      <xdr:rowOff>125730</xdr:rowOff>
    </xdr:to>
    <xdr:sp macro="" textlink="" fLocksText="0">
      <xdr:nvSpPr>
        <xdr:cNvPr id="47" name="Rectangle 12">
          <a:extLst>
            <a:ext uri="{FF2B5EF4-FFF2-40B4-BE49-F238E27FC236}">
              <a16:creationId xmlns:a16="http://schemas.microsoft.com/office/drawing/2014/main" id="{B2C65C8A-7FE0-4E68-88AF-406540847C76}"/>
            </a:ext>
          </a:extLst>
        </xdr:cNvPr>
        <xdr:cNvSpPr/>
      </xdr:nvSpPr>
      <xdr:spPr bwMode="gray">
        <a:xfrm>
          <a:off x="177800" y="41592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7670800</xdr:colOff>
      <xdr:row>21</xdr:row>
      <xdr:rowOff>146050</xdr:rowOff>
    </xdr:from>
    <xdr:to>
      <xdr:col>1</xdr:col>
      <xdr:colOff>7740650</xdr:colOff>
      <xdr:row>22</xdr:row>
      <xdr:rowOff>144780</xdr:rowOff>
    </xdr:to>
    <xdr:sp macro="" textlink="" fLocksText="0">
      <xdr:nvSpPr>
        <xdr:cNvPr id="48" name="Rectangle 13">
          <a:extLst>
            <a:ext uri="{FF2B5EF4-FFF2-40B4-BE49-F238E27FC236}">
              <a16:creationId xmlns:a16="http://schemas.microsoft.com/office/drawing/2014/main" id="{D1FC8926-1BD1-4309-AA32-12A7944468F7}"/>
            </a:ext>
          </a:extLst>
        </xdr:cNvPr>
        <xdr:cNvSpPr/>
      </xdr:nvSpPr>
      <xdr:spPr bwMode="gray">
        <a:xfrm>
          <a:off x="7797800" y="43624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2908300</xdr:colOff>
      <xdr:row>22</xdr:row>
      <xdr:rowOff>165100</xdr:rowOff>
    </xdr:from>
    <xdr:to>
      <xdr:col>1</xdr:col>
      <xdr:colOff>2978150</xdr:colOff>
      <xdr:row>23</xdr:row>
      <xdr:rowOff>163830</xdr:rowOff>
    </xdr:to>
    <xdr:sp macro="" textlink="" fLocksText="0">
      <xdr:nvSpPr>
        <xdr:cNvPr id="49" name="Rectangle 14">
          <a:extLst>
            <a:ext uri="{FF2B5EF4-FFF2-40B4-BE49-F238E27FC236}">
              <a16:creationId xmlns:a16="http://schemas.microsoft.com/office/drawing/2014/main" id="{35378932-CE03-4A71-838A-BA2D2D6AD9D8}"/>
            </a:ext>
          </a:extLst>
        </xdr:cNvPr>
        <xdr:cNvSpPr/>
      </xdr:nvSpPr>
      <xdr:spPr bwMode="gray">
        <a:xfrm>
          <a:off x="3035300" y="45656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2717800</xdr:colOff>
      <xdr:row>24</xdr:row>
      <xdr:rowOff>0</xdr:rowOff>
    </xdr:from>
    <xdr:to>
      <xdr:col>1</xdr:col>
      <xdr:colOff>2787650</xdr:colOff>
      <xdr:row>24</xdr:row>
      <xdr:rowOff>182880</xdr:rowOff>
    </xdr:to>
    <xdr:sp macro="" textlink="" fLocksText="0">
      <xdr:nvSpPr>
        <xdr:cNvPr id="50" name="Rectangle 15">
          <a:extLst>
            <a:ext uri="{FF2B5EF4-FFF2-40B4-BE49-F238E27FC236}">
              <a16:creationId xmlns:a16="http://schemas.microsoft.com/office/drawing/2014/main" id="{FF1253DE-F9C7-4903-B599-996378A1010A}"/>
            </a:ext>
          </a:extLst>
        </xdr:cNvPr>
        <xdr:cNvSpPr/>
      </xdr:nvSpPr>
      <xdr:spPr bwMode="gray">
        <a:xfrm>
          <a:off x="2844800" y="4768850"/>
          <a:ext cx="69850" cy="182880"/>
        </a:xfrm>
        <a:prstGeom prst="rect">
          <a:avLst/>
        </a:prstGeom>
        <a:solidFill>
          <a:srgbClr val="BDBDBD">
            <a:alpha val="85000"/>
          </a:srgbClr>
        </a:solidFill>
        <a:ln w="12700" cap="flat" cmpd="sng" algn="ctr">
          <a:solidFill>
            <a:srgbClr val="BDBDBD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="horz" wrap="square" lIns="91440" tIns="45720" rIns="91440" bIns="45720" numCol="1" rtlCol="0" anchor="ctr" anchorCtr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algn="ctr" defTabSz="914400" rtl="0" eaLnBrk="0" fontAlgn="base" latinLnBrk="0" hangingPunct="0">
            <a:lnSpc>
              <a:spcPct val="100000"/>
            </a:lnSpc>
            <a:spcBef>
              <a:spcPct val="50000"/>
            </a:spcBef>
            <a:spcAft>
              <a:spcPct val="0"/>
            </a:spcAft>
            <a:buClrTx/>
            <a:buSzTx/>
            <a:buFontTx/>
            <a:buNone/>
            <a:tabLst/>
          </a:pPr>
          <a:endParaRPr kumimoji="0" lang="en-US" sz="1200" b="0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9B511-30FD-43F5-BD7E-6C62CAFE4DE3}">
  <sheetPr codeName="Sheet7">
    <tabColor theme="9" tint="0.79998168889431442"/>
  </sheetPr>
  <dimension ref="A1:A21"/>
  <sheetViews>
    <sheetView showGridLines="0" showRowColHeaders="0" tabSelected="1" workbookViewId="0">
      <selection activeCell="A10" sqref="A10"/>
    </sheetView>
  </sheetViews>
  <sheetFormatPr defaultRowHeight="14.5"/>
  <sheetData>
    <row r="1" spans="1:1">
      <c r="A1" s="21" t="s">
        <v>66</v>
      </c>
    </row>
    <row r="2" spans="1:1">
      <c r="A2" t="s">
        <v>68</v>
      </c>
    </row>
    <row r="3" spans="1:1">
      <c r="A3" t="s">
        <v>80</v>
      </c>
    </row>
    <row r="5" spans="1:1">
      <c r="A5" s="21" t="s">
        <v>69</v>
      </c>
    </row>
    <row r="6" spans="1:1">
      <c r="A6" t="s">
        <v>72</v>
      </c>
    </row>
    <row r="7" spans="1:1">
      <c r="A7" t="s">
        <v>73</v>
      </c>
    </row>
    <row r="9" spans="1:1">
      <c r="A9" s="21" t="s">
        <v>70</v>
      </c>
    </row>
    <row r="10" spans="1:1">
      <c r="A10" t="s">
        <v>78</v>
      </c>
    </row>
    <row r="11" spans="1:1">
      <c r="A11" t="s">
        <v>71</v>
      </c>
    </row>
    <row r="13" spans="1:1">
      <c r="A13" s="21" t="s">
        <v>79</v>
      </c>
    </row>
    <row r="14" spans="1:1">
      <c r="A14" t="s">
        <v>74</v>
      </c>
    </row>
    <row r="15" spans="1:1">
      <c r="A15" t="s">
        <v>75</v>
      </c>
    </row>
    <row r="16" spans="1:1">
      <c r="A16" t="s">
        <v>76</v>
      </c>
    </row>
    <row r="17" spans="1:1">
      <c r="A17" t="s">
        <v>77</v>
      </c>
    </row>
    <row r="19" spans="1:1">
      <c r="A19" s="21" t="s">
        <v>67</v>
      </c>
    </row>
    <row r="20" spans="1:1">
      <c r="A20" t="s">
        <v>65</v>
      </c>
    </row>
    <row r="21" spans="1:1">
      <c r="A21" t="s">
        <v>64</v>
      </c>
    </row>
  </sheetData>
  <sheetProtection algorithmName="SHA-512" hashValue="ug2XqW4yIANqGWVr0DY51eUJBkIZM312H1OtOPdZo2GHoAMquFEVgFPq5Jj5fuaJUsEm17OWrnu7ZujvmKaI7A==" saltValue="wz33mBoS/Gcn4hWrA1vXK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1093-54BF-453B-BCD2-DFC1B05BB81F}">
  <sheetPr codeName="Sheet4">
    <tabColor theme="3" tint="0.749992370372631"/>
  </sheetPr>
  <dimension ref="A1:D31"/>
  <sheetViews>
    <sheetView showGridLines="0" showRowColHeaders="0" workbookViewId="0">
      <selection sqref="A1:B1"/>
    </sheetView>
  </sheetViews>
  <sheetFormatPr defaultRowHeight="14.5"/>
  <cols>
    <col min="1" max="1" width="106.26953125" style="29" customWidth="1"/>
    <col min="2" max="2" width="14.1796875" style="29" customWidth="1"/>
    <col min="3" max="3" width="24.1796875" style="29" customWidth="1"/>
    <col min="4" max="4" width="20.7265625" style="29" customWidth="1"/>
    <col min="5" max="16384" width="8.7265625" style="29"/>
  </cols>
  <sheetData>
    <row r="1" spans="1:4" ht="38" customHeight="1">
      <c r="A1" s="27" t="s">
        <v>53</v>
      </c>
      <c r="B1" s="28"/>
    </row>
    <row r="2" spans="1:4" ht="32.5" customHeight="1">
      <c r="A2" s="30" t="s">
        <v>27</v>
      </c>
      <c r="B2" s="30" t="s">
        <v>32</v>
      </c>
    </row>
    <row r="3" spans="1:4" ht="16" customHeight="1">
      <c r="A3" s="31" t="s">
        <v>52</v>
      </c>
      <c r="B3" s="20" t="s">
        <v>23</v>
      </c>
    </row>
    <row r="4" spans="1:4">
      <c r="A4" s="31" t="s">
        <v>48</v>
      </c>
      <c r="B4" s="20" t="s">
        <v>20</v>
      </c>
    </row>
    <row r="5" spans="1:4">
      <c r="A5" s="31" t="s">
        <v>61</v>
      </c>
      <c r="B5" s="20" t="s">
        <v>23</v>
      </c>
    </row>
    <row r="6" spans="1:4" ht="15" customHeight="1">
      <c r="A6" s="31" t="s">
        <v>57</v>
      </c>
      <c r="B6" s="20" t="s">
        <v>20</v>
      </c>
    </row>
    <row r="7" spans="1:4" ht="14.5" customHeight="1">
      <c r="A7" s="31" t="s">
        <v>58</v>
      </c>
      <c r="B7" s="20" t="s">
        <v>23</v>
      </c>
    </row>
    <row r="8" spans="1:4" ht="29">
      <c r="A8" s="31" t="s">
        <v>50</v>
      </c>
      <c r="B8" s="20" t="s">
        <v>20</v>
      </c>
    </row>
    <row r="9" spans="1:4" ht="84" customHeight="1">
      <c r="A9" s="32"/>
      <c r="B9" s="33" t="s">
        <v>30</v>
      </c>
      <c r="C9" s="34" t="s">
        <v>29</v>
      </c>
      <c r="D9" s="34" t="s">
        <v>36</v>
      </c>
    </row>
    <row r="10" spans="1:4" ht="29">
      <c r="A10" s="35" t="s">
        <v>54</v>
      </c>
      <c r="B10" s="35"/>
      <c r="C10" s="36"/>
      <c r="D10" s="36"/>
    </row>
    <row r="11" spans="1:4">
      <c r="A11" s="37" t="s">
        <v>4</v>
      </c>
      <c r="B11" s="34" t="s">
        <v>6</v>
      </c>
      <c r="C11" s="20">
        <v>2</v>
      </c>
      <c r="D11" s="20" t="s">
        <v>2</v>
      </c>
    </row>
    <row r="12" spans="1:4">
      <c r="A12" s="37" t="s">
        <v>5</v>
      </c>
      <c r="B12" s="34" t="s">
        <v>12</v>
      </c>
      <c r="C12" s="20">
        <v>2</v>
      </c>
      <c r="D12" s="20" t="s">
        <v>1</v>
      </c>
    </row>
    <row r="13" spans="1:4">
      <c r="A13" s="37" t="s">
        <v>33</v>
      </c>
      <c r="B13" s="34" t="s">
        <v>8</v>
      </c>
      <c r="C13" s="20">
        <v>3</v>
      </c>
      <c r="D13" s="20" t="s">
        <v>14</v>
      </c>
    </row>
    <row r="14" spans="1:4">
      <c r="A14" s="37" t="s">
        <v>37</v>
      </c>
      <c r="B14" s="34" t="s">
        <v>6</v>
      </c>
      <c r="C14" s="20">
        <v>4</v>
      </c>
      <c r="D14" s="20" t="s">
        <v>2</v>
      </c>
    </row>
    <row r="15" spans="1:4">
      <c r="A15" s="37" t="s">
        <v>47</v>
      </c>
      <c r="B15" s="34" t="s">
        <v>7</v>
      </c>
      <c r="C15" s="20">
        <v>5</v>
      </c>
      <c r="D15" s="20" t="s">
        <v>14</v>
      </c>
    </row>
    <row r="16" spans="1:4" ht="43.5">
      <c r="A16" s="35" t="s">
        <v>55</v>
      </c>
      <c r="B16" s="35"/>
      <c r="C16" s="36"/>
      <c r="D16" s="36"/>
    </row>
    <row r="17" spans="1:4" ht="17.5" customHeight="1">
      <c r="A17" s="37" t="s">
        <v>38</v>
      </c>
      <c r="B17" s="34" t="s">
        <v>11</v>
      </c>
      <c r="C17" s="20">
        <v>2</v>
      </c>
      <c r="D17" s="20" t="s">
        <v>2</v>
      </c>
    </row>
    <row r="18" spans="1:4" ht="28" customHeight="1">
      <c r="A18" s="37" t="s">
        <v>34</v>
      </c>
      <c r="B18" s="34" t="s">
        <v>9</v>
      </c>
      <c r="C18" s="20">
        <v>4</v>
      </c>
      <c r="D18" s="20" t="s">
        <v>1</v>
      </c>
    </row>
    <row r="19" spans="1:4" ht="17.5" customHeight="1">
      <c r="A19" s="37" t="s">
        <v>39</v>
      </c>
      <c r="B19" s="34" t="s">
        <v>6</v>
      </c>
      <c r="C19" s="20">
        <v>1</v>
      </c>
      <c r="D19" s="20" t="s">
        <v>2</v>
      </c>
    </row>
    <row r="20" spans="1:4" ht="13.5" customHeight="1">
      <c r="A20" s="37" t="s">
        <v>62</v>
      </c>
      <c r="B20" s="34" t="s">
        <v>10</v>
      </c>
      <c r="C20" s="20">
        <v>3</v>
      </c>
      <c r="D20" s="20" t="s">
        <v>14</v>
      </c>
    </row>
    <row r="21" spans="1:4" ht="26.5" customHeight="1">
      <c r="A21" s="37" t="s">
        <v>35</v>
      </c>
      <c r="B21" s="34" t="s">
        <v>10</v>
      </c>
      <c r="C21" s="20">
        <v>2</v>
      </c>
      <c r="D21" s="20" t="s">
        <v>2</v>
      </c>
    </row>
    <row r="22" spans="1:4">
      <c r="A22" s="37" t="s">
        <v>49</v>
      </c>
      <c r="B22" s="34" t="s">
        <v>11</v>
      </c>
      <c r="C22" s="20">
        <v>4</v>
      </c>
      <c r="D22" s="20" t="s">
        <v>14</v>
      </c>
    </row>
    <row r="23" spans="1:4" ht="29" customHeight="1">
      <c r="A23" s="35" t="s">
        <v>56</v>
      </c>
      <c r="B23" s="35"/>
      <c r="C23" s="36"/>
      <c r="D23" s="36"/>
    </row>
    <row r="24" spans="1:4" ht="19.5" customHeight="1">
      <c r="A24" s="37" t="s">
        <v>40</v>
      </c>
      <c r="B24" s="34" t="s">
        <v>13</v>
      </c>
      <c r="C24" s="20">
        <v>1</v>
      </c>
      <c r="D24" s="20" t="s">
        <v>14</v>
      </c>
    </row>
    <row r="25" spans="1:4" ht="18" customHeight="1">
      <c r="A25" s="37" t="s">
        <v>41</v>
      </c>
      <c r="B25" s="34" t="s">
        <v>12</v>
      </c>
      <c r="C25" s="20">
        <v>3</v>
      </c>
      <c r="D25" s="20" t="s">
        <v>1</v>
      </c>
    </row>
    <row r="26" spans="1:4" ht="31.5" customHeight="1">
      <c r="A26" s="37" t="s">
        <v>42</v>
      </c>
      <c r="B26" s="34" t="s">
        <v>9</v>
      </c>
      <c r="C26" s="20">
        <v>4</v>
      </c>
      <c r="D26" s="20" t="s">
        <v>2</v>
      </c>
    </row>
    <row r="27" spans="1:4" ht="15.5" customHeight="1">
      <c r="A27" s="37" t="s">
        <v>43</v>
      </c>
      <c r="B27" s="34" t="s">
        <v>11</v>
      </c>
      <c r="C27" s="20">
        <v>5</v>
      </c>
      <c r="D27" s="20" t="s">
        <v>1</v>
      </c>
    </row>
    <row r="28" spans="1:4" ht="29">
      <c r="A28" s="37" t="s">
        <v>44</v>
      </c>
      <c r="B28" s="34" t="s">
        <v>6</v>
      </c>
      <c r="C28" s="20">
        <v>3</v>
      </c>
      <c r="D28" s="20" t="s">
        <v>14</v>
      </c>
    </row>
    <row r="29" spans="1:4" ht="29">
      <c r="A29" s="37" t="s">
        <v>63</v>
      </c>
      <c r="B29" s="34" t="s">
        <v>6</v>
      </c>
      <c r="C29" s="20">
        <v>2</v>
      </c>
      <c r="D29" s="20" t="s">
        <v>2</v>
      </c>
    </row>
    <row r="30" spans="1:4" ht="17" customHeight="1">
      <c r="A30" s="37" t="s">
        <v>45</v>
      </c>
      <c r="B30" s="34" t="s">
        <v>12</v>
      </c>
      <c r="C30" s="20">
        <v>1</v>
      </c>
      <c r="D30" s="20" t="s">
        <v>1</v>
      </c>
    </row>
    <row r="31" spans="1:4" ht="17.5" customHeight="1">
      <c r="A31" s="37" t="s">
        <v>46</v>
      </c>
      <c r="B31" s="34" t="s">
        <v>12</v>
      </c>
      <c r="C31" s="20">
        <v>4</v>
      </c>
      <c r="D31" s="20" t="s">
        <v>2</v>
      </c>
    </row>
  </sheetData>
  <sheetProtection algorithmName="SHA-512" hashValue="3JivYLWM9+eII7H+sRQkz1mnRr4aEszd+edAGkU76C8RV06zm+4/qaUS9tQwvAmfbdXGZm9Yd25hHn/0dCKe4g==" saltValue="vJ7QnJ6gor0xxD4m7W2p4g==" spinCount="100000" sheet="1" objects="1" scenarios="1"/>
  <mergeCells count="1">
    <mergeCell ref="A1:B1"/>
  </mergeCells>
  <dataValidations count="3">
    <dataValidation type="list" allowBlank="1" showInputMessage="1" showErrorMessage="1" sqref="B3:B8" xr:uid="{F905A8DC-A396-4E05-B22E-F34073237D6E}">
      <formula1>"Yes,No"</formula1>
    </dataValidation>
    <dataValidation type="list" allowBlank="1" showInputMessage="1" showErrorMessage="1" sqref="D11:D15 D17:D22 D24:D31" xr:uid="{8A01216E-A4D1-4898-9E49-9F7DE9407830}">
      <formula1>"Critical,Important,Manageable"</formula1>
    </dataValidation>
    <dataValidation type="list" allowBlank="1" showInputMessage="1" showErrorMessage="1" sqref="C11:C15 C17:C22 C24:C31" xr:uid="{44BE911B-7E5C-4E7D-880C-9E3110C1C8D7}">
      <formula1>"1,2,3,4,5"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4EA6C-8AA9-42BE-A5B7-F691F72EC8C7}">
  <sheetPr codeName="Sheet6">
    <tabColor rgb="FFFF0000"/>
  </sheetPr>
  <dimension ref="A1:H26"/>
  <sheetViews>
    <sheetView showGridLines="0" showRowColHeaders="0" zoomScale="95" zoomScaleNormal="95" workbookViewId="0"/>
  </sheetViews>
  <sheetFormatPr defaultRowHeight="14.5"/>
  <cols>
    <col min="1" max="1" width="1.81640625" customWidth="1"/>
    <col min="2" max="2" width="112.1796875" customWidth="1"/>
    <col min="3" max="3" width="1" customWidth="1"/>
    <col min="4" max="4" width="2.6328125" customWidth="1"/>
    <col min="5" max="5" width="17" customWidth="1"/>
    <col min="6" max="6" width="12.26953125" customWidth="1"/>
    <col min="7" max="7" width="10.7265625" customWidth="1"/>
    <col min="8" max="8" width="10" customWidth="1"/>
  </cols>
  <sheetData>
    <row r="1" spans="1:8" ht="20">
      <c r="A1" s="2"/>
      <c r="B1" s="22" t="s">
        <v>31</v>
      </c>
      <c r="C1" s="23"/>
      <c r="D1" s="23"/>
      <c r="E1" s="23"/>
      <c r="F1" s="23"/>
      <c r="G1" s="23"/>
      <c r="H1" s="23"/>
    </row>
    <row r="2" spans="1:8" ht="20">
      <c r="A2" s="2"/>
      <c r="B2" s="19"/>
      <c r="C2" s="1"/>
      <c r="D2" s="1"/>
      <c r="E2" s="1"/>
      <c r="F2" s="1"/>
      <c r="G2" s="1"/>
      <c r="H2" s="1"/>
    </row>
    <row r="3" spans="1:8" ht="20">
      <c r="A3" s="2"/>
      <c r="B3" s="19"/>
      <c r="C3" s="1"/>
      <c r="D3" s="1"/>
      <c r="E3" s="1"/>
      <c r="F3" s="1"/>
      <c r="G3" s="1"/>
      <c r="H3" s="1"/>
    </row>
    <row r="4" spans="1:8" ht="20">
      <c r="A4" s="2"/>
      <c r="B4" s="19"/>
      <c r="C4" s="1"/>
      <c r="D4" s="1"/>
      <c r="E4" s="1"/>
      <c r="F4" s="1"/>
      <c r="G4" s="1"/>
      <c r="H4" s="1"/>
    </row>
    <row r="5" spans="1:8" ht="20">
      <c r="A5" s="2"/>
      <c r="B5" s="19"/>
      <c r="C5" s="1"/>
      <c r="D5" s="1"/>
      <c r="E5" s="1"/>
      <c r="F5" s="1"/>
      <c r="G5" s="1"/>
      <c r="H5" s="1"/>
    </row>
    <row r="7" spans="1:8">
      <c r="F7" s="24" t="s">
        <v>19</v>
      </c>
      <c r="G7" s="25"/>
      <c r="H7" s="26"/>
    </row>
    <row r="8" spans="1:8">
      <c r="F8" s="3" t="s">
        <v>14</v>
      </c>
      <c r="G8" s="3" t="s">
        <v>2</v>
      </c>
      <c r="H8" s="3" t="s">
        <v>1</v>
      </c>
    </row>
    <row r="9" spans="1:8">
      <c r="E9" s="15" t="s">
        <v>21</v>
      </c>
    </row>
    <row r="10" spans="1:8">
      <c r="E10" s="16" t="s">
        <v>9</v>
      </c>
      <c r="F10" s="3" t="str">
        <f>IF(ISERROR(SUMIFS(Hide!$F$8:$F$20, Hide!$B$8:$B$20,$E10, Hide!$D$8:$D$20, F$8)/SUMIFS(Hide!$E$8:$E$20, Hide!$B$8:$B$20,$E10, Hide!$D$8:$D$20, F$8)), "None", ROUND(SUMIFS(Hide!$F$8:$F$20, Hide!$B$8:$B$20,$E10, Hide!$D$8:$D$20, F$8)/SUMIFS(Hide!$E$8:$E$20, Hide!$B$8:$B$20,$E10, Hide!$D$8:$D$20, F$8), 2))</f>
        <v>None</v>
      </c>
      <c r="G10" s="3" t="str">
        <f>IF(ISERROR(SUMIFS(Hide!$F$8:$F$20, Hide!$B$8:$B$20,$E10, Hide!$D$8:$D$20, G$8)/SUMIFS(Hide!$E$8:$E$20, Hide!$B$8:$B$20,$E10, Hide!$D$8:$D$20, G$8)), "None", ROUND(SUMIFS(Hide!$F$8:$F$20, Hide!$B$8:$B$20,$E10, Hide!$D$8:$D$20, G$8)/SUMIFS(Hide!$E$8:$E$20, Hide!$B$8:$B$20,$E10, Hide!$D$8:$D$20, G$8), 2))</f>
        <v>None</v>
      </c>
      <c r="H10" s="3">
        <f>IF(ISERROR(SUMIFS(Hide!$F$8:$F$20, Hide!$B$8:$B$20,$E10, Hide!$D$8:$D$20, H$8)/SUMIFS(Hide!$E$8:$E$20, Hide!$B$8:$B$20,$E10, Hide!$D$8:$D$20, H$8)), "None", ROUND(SUMIFS(Hide!$F$8:$F$20, Hide!$B$8:$B$20,$E10, Hide!$D$8:$D$20, H$8)/SUMIFS(Hide!$E$8:$E$20, Hide!$B$8:$B$20,$E10, Hide!$D$8:$D$20, H$8), 2))</f>
        <v>4</v>
      </c>
    </row>
    <row r="11" spans="1:8">
      <c r="E11" s="16" t="s">
        <v>7</v>
      </c>
      <c r="F11" s="3">
        <f>IF(ISERROR(SUMIFS(Hide!$F$8:$F$20, Hide!$B$8:$B$20,$E11, Hide!$D$8:$D$20, F$8)/SUMIFS(Hide!$E$8:$E$20, Hide!$B$8:$B$20,$E11, Hide!$D$8:$D$20, F$8)), "None", ROUND(SUMIFS(Hide!$F$8:$F$20, Hide!$B$8:$B$20,$E11, Hide!$D$8:$D$20, F$8)/SUMIFS(Hide!$E$8:$E$20, Hide!$B$8:$B$20,$E11, Hide!$D$8:$D$20, F$8), 2))</f>
        <v>5</v>
      </c>
      <c r="G11" s="3" t="str">
        <f>IF(ISERROR(SUMIFS(Hide!$F$8:$F$20, Hide!$B$8:$B$20,$E11, Hide!$D$8:$D$20, G$8)/SUMIFS(Hide!$E$8:$E$20, Hide!$B$8:$B$20,$E11, Hide!$D$8:$D$20, G$8)), "None", ROUND(SUMIFS(Hide!$F$8:$F$20, Hide!$B$8:$B$20,$E11, Hide!$D$8:$D$20, G$8)/SUMIFS(Hide!$E$8:$E$20, Hide!$B$8:$B$20,$E11, Hide!$D$8:$D$20, G$8), 2))</f>
        <v>None</v>
      </c>
      <c r="H11" s="3" t="str">
        <f>IF(ISERROR(SUMIFS(Hide!$F$8:$F$20, Hide!$B$8:$B$20,$E11, Hide!$D$8:$D$20, H$8)/SUMIFS(Hide!$E$8:$E$20, Hide!$B$8:$B$20,$E11, Hide!$D$8:$D$20, H$8)), "None", ROUND(SUMIFS(Hide!$F$8:$F$20, Hide!$B$8:$B$20,$E11, Hide!$D$8:$D$20, H$8)/SUMIFS(Hide!$E$8:$E$20, Hide!$B$8:$B$20,$E11, Hide!$D$8:$D$20, H$8), 2))</f>
        <v>None</v>
      </c>
    </row>
    <row r="12" spans="1:8">
      <c r="E12" s="17" t="s">
        <v>11</v>
      </c>
      <c r="F12" s="3">
        <f>IF(ISERROR(SUMIFS(Hide!$F$8:$F$20, Hide!$B$8:$B$20,$E12, Hide!$D$8:$D$20, F$8)/SUMIFS(Hide!$E$8:$E$20, Hide!$B$8:$B$20,$E12, Hide!$D$8:$D$20, F$8)), "None", ROUND(SUMIFS(Hide!$F$8:$F$20, Hide!$B$8:$B$20,$E12, Hide!$D$8:$D$20, F$8)/SUMIFS(Hide!$E$8:$E$20, Hide!$B$8:$B$20,$E12, Hide!$D$8:$D$20, F$8), 2))</f>
        <v>4</v>
      </c>
      <c r="G12" s="3">
        <f>IF(ISERROR(SUMIFS(Hide!$F$8:$F$20, Hide!$B$8:$B$20,$E12, Hide!$D$8:$D$20, G$8)/SUMIFS(Hide!$E$8:$E$20, Hide!$B$8:$B$20,$E12, Hide!$D$8:$D$20, G$8)), "None", ROUND(SUMIFS(Hide!$F$8:$F$20, Hide!$B$8:$B$20,$E12, Hide!$D$8:$D$20, G$8)/SUMIFS(Hide!$E$8:$E$20, Hide!$B$8:$B$20,$E12, Hide!$D$8:$D$20, G$8), 2))</f>
        <v>2</v>
      </c>
      <c r="H12" s="3" t="str">
        <f>IF(ISERROR(SUMIFS(Hide!$F$8:$F$20, Hide!$B$8:$B$20,$E12, Hide!$D$8:$D$20, H$8)/SUMIFS(Hide!$E$8:$E$20, Hide!$B$8:$B$20,$E12, Hide!$D$8:$D$20, H$8)), "None", ROUND(SUMIFS(Hide!$F$8:$F$20, Hide!$B$8:$B$20,$E12, Hide!$D$8:$D$20, H$8)/SUMIFS(Hide!$E$8:$E$20, Hide!$B$8:$B$20,$E12, Hide!$D$8:$D$20, H$8), 2))</f>
        <v>None</v>
      </c>
    </row>
    <row r="13" spans="1:8">
      <c r="E13" s="16" t="s">
        <v>10</v>
      </c>
      <c r="F13" s="3">
        <f>IF(ISERROR(SUMIFS(Hide!$F$8:$F$20, Hide!$B$8:$B$20,$E13, Hide!$D$8:$D$20, F$8)/SUMIFS(Hide!$E$8:$E$20, Hide!$B$8:$B$20,$E13, Hide!$D$8:$D$20, F$8)), "None", ROUND(SUMIFS(Hide!$F$8:$F$20, Hide!$B$8:$B$20,$E13, Hide!$D$8:$D$20, F$8)/SUMIFS(Hide!$E$8:$E$20, Hide!$B$8:$B$20,$E13, Hide!$D$8:$D$20, F$8), 2))</f>
        <v>3</v>
      </c>
      <c r="G13" s="3">
        <f>IF(ISERROR(SUMIFS(Hide!$F$8:$F$20, Hide!$B$8:$B$20,$E13, Hide!$D$8:$D$20, G$8)/SUMIFS(Hide!$E$8:$E$20, Hide!$B$8:$B$20,$E13, Hide!$D$8:$D$20, G$8)), "None", ROUND(SUMIFS(Hide!$F$8:$F$20, Hide!$B$8:$B$20,$E13, Hide!$D$8:$D$20, G$8)/SUMIFS(Hide!$E$8:$E$20, Hide!$B$8:$B$20,$E13, Hide!$D$8:$D$20, G$8), 2))</f>
        <v>2</v>
      </c>
      <c r="H13" s="3" t="str">
        <f>IF(ISERROR(SUMIFS(Hide!$F$8:$F$20, Hide!$B$8:$B$20,$E13, Hide!$D$8:$D$20, H$8)/SUMIFS(Hide!$E$8:$E$20, Hide!$B$8:$B$20,$E13, Hide!$D$8:$D$20, H$8)), "None", ROUND(SUMIFS(Hide!$F$8:$F$20, Hide!$B$8:$B$20,$E13, Hide!$D$8:$D$20, H$8)/SUMIFS(Hide!$E$8:$E$20, Hide!$B$8:$B$20,$E13, Hide!$D$8:$D$20, H$8), 2))</f>
        <v>None</v>
      </c>
    </row>
    <row r="14" spans="1:8">
      <c r="E14" s="16" t="s">
        <v>12</v>
      </c>
      <c r="F14" s="3" t="str">
        <f>IF(ISERROR(SUMIFS(Hide!$F$8:$F$20, Hide!$B$8:$B$20,$E14, Hide!$D$8:$D$20, F$8)/SUMIFS(Hide!$E$8:$E$20, Hide!$B$8:$B$20,$E14, Hide!$D$8:$D$20, F$8)), "None", ROUND(SUMIFS(Hide!$F$8:$F$20, Hide!$B$8:$B$20,$E14, Hide!$D$8:$D$20, F$8)/SUMIFS(Hide!$E$8:$E$20, Hide!$B$8:$B$20,$E14, Hide!$D$8:$D$20, F$8), 2))</f>
        <v>None</v>
      </c>
      <c r="G14" s="3" t="str">
        <f>IF(ISERROR(SUMIFS(Hide!$F$8:$F$20, Hide!$B$8:$B$20,$E14, Hide!$D$8:$D$20, G$8)/SUMIFS(Hide!$E$8:$E$20, Hide!$B$8:$B$20,$E14, Hide!$D$8:$D$20, G$8)), "None", ROUND(SUMIFS(Hide!$F$8:$F$20, Hide!$B$8:$B$20,$E14, Hide!$D$8:$D$20, G$8)/SUMIFS(Hide!$E$8:$E$20, Hide!$B$8:$B$20,$E14, Hide!$D$8:$D$20, G$8), 2))</f>
        <v>None</v>
      </c>
      <c r="H14" s="3">
        <f>IF(ISERROR(SUMIFS(Hide!$F$8:$F$20, Hide!$B$8:$B$20,$E14, Hide!$D$8:$D$20, H$8)/SUMIFS(Hide!$E$8:$E$20, Hide!$B$8:$B$20,$E14, Hide!$D$8:$D$20, H$8)), "None", ROUND(SUMIFS(Hide!$F$8:$F$20, Hide!$B$8:$B$20,$E14, Hide!$D$8:$D$20, H$8)/SUMIFS(Hide!$E$8:$E$20, Hide!$B$8:$B$20,$E14, Hide!$D$8:$D$20, H$8), 2))</f>
        <v>2</v>
      </c>
    </row>
    <row r="15" spans="1:8">
      <c r="E15" s="16" t="s">
        <v>6</v>
      </c>
      <c r="F15" s="3" t="str">
        <f>IF(ISERROR(SUMIFS(Hide!$F$8:$F$20, Hide!$B$8:$B$20,$E15, Hide!$D$8:$D$20, F$8)/SUMIFS(Hide!$E$8:$E$20, Hide!$B$8:$B$20,$E15, Hide!$D$8:$D$20, F$8)), "None", ROUND(SUMIFS(Hide!$F$8:$F$20, Hide!$B$8:$B$20,$E15, Hide!$D$8:$D$20, F$8)/SUMIFS(Hide!$E$8:$E$20, Hide!$B$8:$B$20,$E15, Hide!$D$8:$D$20, F$8), 2))</f>
        <v>None</v>
      </c>
      <c r="G15" s="3">
        <f>IF(ISERROR(SUMIFS(Hide!$F$8:$F$20, Hide!$B$8:$B$20,$E15, Hide!$D$8:$D$20, G$8)/SUMIFS(Hide!$E$8:$E$20, Hide!$B$8:$B$20,$E15, Hide!$D$8:$D$20, G$8)), "None", ROUND(SUMIFS(Hide!$F$8:$F$20, Hide!$B$8:$B$20,$E15, Hide!$D$8:$D$20, G$8)/SUMIFS(Hide!$E$8:$E$20, Hide!$B$8:$B$20,$E15, Hide!$D$8:$D$20, G$8), 2))</f>
        <v>2.33</v>
      </c>
      <c r="H15" s="3" t="str">
        <f>IF(ISERROR(SUMIFS(Hide!$F$8:$F$20, Hide!$B$8:$B$20,$E15, Hide!$D$8:$D$20, H$8)/SUMIFS(Hide!$E$8:$E$20, Hide!$B$8:$B$20,$E15, Hide!$D$8:$D$20, H$8)), "None", ROUND(SUMIFS(Hide!$F$8:$F$20, Hide!$B$8:$B$20,$E15, Hide!$D$8:$D$20, H$8)/SUMIFS(Hide!$E$8:$E$20, Hide!$B$8:$B$20,$E15, Hide!$D$8:$D$20, H$8), 2))</f>
        <v>None</v>
      </c>
    </row>
    <row r="16" spans="1:8">
      <c r="E16" s="16" t="s">
        <v>8</v>
      </c>
      <c r="F16" s="3">
        <f>IF(ISERROR(SUMIFS(Hide!$F$8:$F$20, Hide!$B$8:$B$20,$E16, Hide!$D$8:$D$20, F$8)/SUMIFS(Hide!$E$8:$E$20, Hide!$B$8:$B$20,$E16, Hide!$D$8:$D$20, F$8)), "None", ROUND(SUMIFS(Hide!$F$8:$F$20, Hide!$B$8:$B$20,$E16, Hide!$D$8:$D$20, F$8)/SUMIFS(Hide!$E$8:$E$20, Hide!$B$8:$B$20,$E16, Hide!$D$8:$D$20, F$8), 2))</f>
        <v>3</v>
      </c>
      <c r="G16" s="3" t="str">
        <f>IF(ISERROR(SUMIFS(Hide!$F$8:$F$20, Hide!$B$8:$B$20,$E16, Hide!$D$8:$D$20, G$8)/SUMIFS(Hide!$E$8:$E$20, Hide!$B$8:$B$20,$E16, Hide!$D$8:$D$20, G$8)), "None", ROUND(SUMIFS(Hide!$F$8:$F$20, Hide!$B$8:$B$20,$E16, Hide!$D$8:$D$20, G$8)/SUMIFS(Hide!$E$8:$E$20, Hide!$B$8:$B$20,$E16, Hide!$D$8:$D$20, G$8), 2))</f>
        <v>None</v>
      </c>
      <c r="H16" s="3" t="str">
        <f>IF(ISERROR(SUMIFS(Hide!$F$8:$F$20, Hide!$B$8:$B$20,$E16, Hide!$D$8:$D$20, H$8)/SUMIFS(Hide!$E$8:$E$20, Hide!$B$8:$B$20,$E16, Hide!$D$8:$D$20, H$8)), "None", ROUND(SUMIFS(Hide!$F$8:$F$20, Hide!$B$8:$B$20,$E16, Hide!$D$8:$D$20, H$8)/SUMIFS(Hide!$E$8:$E$20, Hide!$B$8:$B$20,$E16, Hide!$D$8:$D$20, H$8), 2))</f>
        <v>None</v>
      </c>
    </row>
    <row r="17" spans="5:8">
      <c r="E17" s="18" t="s">
        <v>18</v>
      </c>
      <c r="F17" s="3">
        <f>IF(ISERROR(ROUND(AVERAGE(F10:F16),2)),"None",ROUND(AVERAGE(F10:F16),2))</f>
        <v>3.75</v>
      </c>
      <c r="G17" s="3">
        <f t="shared" ref="G17:H17" si="0">IF(ISERROR(ROUND(AVERAGE(G10:G16),2)),"None",ROUND(AVERAGE(G10:G16),2))</f>
        <v>2.11</v>
      </c>
      <c r="H17" s="3">
        <f t="shared" si="0"/>
        <v>3</v>
      </c>
    </row>
    <row r="18" spans="5:8">
      <c r="E18" s="15" t="s">
        <v>22</v>
      </c>
    </row>
    <row r="19" spans="5:8">
      <c r="E19" s="16" t="s">
        <v>9</v>
      </c>
      <c r="F19" s="3" t="str">
        <f>IF(ISERROR((SUMIFS(Hide!$F$8:$F$12, Hide!$B$8:$B$12,$E19, Hide!$D$8:$D$12, F$8)+SUMIFS(Hide!$F$23:$F$30, Hide!$B$23:$B$30,$E19, Hide!$D$23:$D$30, F$8))/(SUMIFS(Hide!$E$8:$E$12, Hide!$B$8:$B$12,$E19, Hide!$D$8:$D$12, F$8)+SUMIFS(Hide!$E$23:$E$30, Hide!$B$23:$B$30,$E19, Hide!$D$23:$D$30, F$8))), "None", ROUND((SUMIFS(Hide!$F$8:$F$12, Hide!$B$8:$B$12,$E19, Hide!$D$8:$D$12, F$8)+SUMIFS(Hide!$F$23:$F$30, Hide!$B$23:$B$30,$E19, Hide!$D$23:$D$30, F$8))/(SUMIFS(Hide!$E$8:$E$12, Hide!$B$8:$B$12,$E19, Hide!$D$8:$D$12, F$8)+SUMIFS(Hide!$E$23:$E$30, Hide!$B$23:$B$30,$E19, Hide!$D$23:$D$30, F$8)), 2))</f>
        <v>None</v>
      </c>
      <c r="G19" s="3">
        <f>IF(ISERROR((SUMIFS(Hide!$F$8:$F$12, Hide!$B$8:$B$12,$E19, Hide!$D$8:$D$12, G$8)+SUMIFS(Hide!$F$23:$F$30, Hide!$B$23:$B$30,$E19, Hide!$D$23:$D$30, G$8))/(SUMIFS(Hide!$E$8:$E$12, Hide!$B$8:$B$12,$E19, Hide!$D$8:$D$12, G$8)+SUMIFS(Hide!$E$23:$E$30, Hide!$B$23:$B$30,$E19, Hide!$D$23:$D$30, G$8))), "None", ROUND((SUMIFS(Hide!$F$8:$F$12, Hide!$B$8:$B$12,$E19, Hide!$D$8:$D$12, G$8)+SUMIFS(Hide!$F$23:$F$30, Hide!$B$23:$B$30,$E19, Hide!$D$23:$D$30, G$8))/(SUMIFS(Hide!$E$8:$E$12, Hide!$B$8:$B$12,$E19, Hide!$D$8:$D$12, G$8)+SUMIFS(Hide!$E$23:$E$30, Hide!$B$23:$B$30,$E19, Hide!$D$23:$D$30, G$8)), 2))</f>
        <v>4</v>
      </c>
      <c r="H19" s="3" t="str">
        <f>IF(ISERROR((SUMIFS(Hide!$F$8:$F$12, Hide!$B$8:$B$12,$E19, Hide!$D$8:$D$12, H$8)+SUMIFS(Hide!$F$23:$F$30, Hide!$B$23:$B$30,$E19, Hide!$D$23:$D$30, H$8))/(SUMIFS(Hide!$E$8:$E$12, Hide!$B$8:$B$12,$E19, Hide!$D$8:$D$12, H$8)+SUMIFS(Hide!$E$23:$E$30, Hide!$B$23:$B$30,$E19, Hide!$D$23:$D$30, H$8))), "None", ROUND((SUMIFS(Hide!$F$8:$F$12, Hide!$B$8:$B$12,$E19, Hide!$D$8:$D$12, H$8)+SUMIFS(Hide!$F$23:$F$30, Hide!$B$23:$B$30,$E19, Hide!$D$23:$D$30, H$8))/(SUMIFS(Hide!$E$8:$E$12, Hide!$B$8:$B$12,$E19, Hide!$D$8:$D$12, H$8)+SUMIFS(Hide!$E$23:$E$30, Hide!$B$23:$B$30,$E19, Hide!$D$23:$D$30, H$8)), 2))</f>
        <v>None</v>
      </c>
    </row>
    <row r="20" spans="5:8">
      <c r="E20" s="16" t="s">
        <v>7</v>
      </c>
      <c r="F20" s="3">
        <f>IF(ISERROR((SUMIFS(Hide!$F$8:$F$12, Hide!$B$8:$B$12,$E20, Hide!$D$8:$D$12, F$8)+SUMIFS(Hide!$F$23:$F$30, Hide!$B$23:$B$30,$E20, Hide!$D$23:$D$30, F$8))/(SUMIFS(Hide!$E$8:$E$12, Hide!$B$8:$B$12,$E20, Hide!$D$8:$D$12, F$8)+SUMIFS(Hide!$E$23:$E$30, Hide!$B$23:$B$30,$E20, Hide!$D$23:$D$30, F$8))), "None", ROUND((SUMIFS(Hide!$F$8:$F$12, Hide!$B$8:$B$12,$E20, Hide!$D$8:$D$12, F$8)+SUMIFS(Hide!$F$23:$F$30, Hide!$B$23:$B$30,$E20, Hide!$D$23:$D$30, F$8))/(SUMIFS(Hide!$E$8:$E$12, Hide!$B$8:$B$12,$E20, Hide!$D$8:$D$12, F$8)+SUMIFS(Hide!$E$23:$E$30, Hide!$B$23:$B$30,$E20, Hide!$D$23:$D$30, F$8)), 2))</f>
        <v>5</v>
      </c>
      <c r="G20" s="3" t="str">
        <f>IF(ISERROR((SUMIFS(Hide!$F$8:$F$12, Hide!$B$8:$B$12,$E20, Hide!$D$8:$D$12, G$8)+SUMIFS(Hide!$F$23:$F$30, Hide!$B$23:$B$30,$E20, Hide!$D$23:$D$30, G$8))/(SUMIFS(Hide!$E$8:$E$12, Hide!$B$8:$B$12,$E20, Hide!$D$8:$D$12, G$8)+SUMIFS(Hide!$E$23:$E$30, Hide!$B$23:$B$30,$E20, Hide!$D$23:$D$30, G$8))), "None", ROUND((SUMIFS(Hide!$F$8:$F$12, Hide!$B$8:$B$12,$E20, Hide!$D$8:$D$12, G$8)+SUMIFS(Hide!$F$23:$F$30, Hide!$B$23:$B$30,$E20, Hide!$D$23:$D$30, G$8))/(SUMIFS(Hide!$E$8:$E$12, Hide!$B$8:$B$12,$E20, Hide!$D$8:$D$12, G$8)+SUMIFS(Hide!$E$23:$E$30, Hide!$B$23:$B$30,$E20, Hide!$D$23:$D$30, G$8)), 2))</f>
        <v>None</v>
      </c>
      <c r="H20" s="3" t="str">
        <f>IF(ISERROR((SUMIFS(Hide!$F$8:$F$12, Hide!$B$8:$B$12,$E20, Hide!$D$8:$D$12, H$8)+SUMIFS(Hide!$F$23:$F$30, Hide!$B$23:$B$30,$E20, Hide!$D$23:$D$30, H$8))/(SUMIFS(Hide!$E$8:$E$12, Hide!$B$8:$B$12,$E20, Hide!$D$8:$D$12, H$8)+SUMIFS(Hide!$E$23:$E$30, Hide!$B$23:$B$30,$E20, Hide!$D$23:$D$30, H$8))), "None", ROUND((SUMIFS(Hide!$F$8:$F$12, Hide!$B$8:$B$12,$E20, Hide!$D$8:$D$12, H$8)+SUMIFS(Hide!$F$23:$F$30, Hide!$B$23:$B$30,$E20, Hide!$D$23:$D$30, H$8))/(SUMIFS(Hide!$E$8:$E$12, Hide!$B$8:$B$12,$E20, Hide!$D$8:$D$12, H$8)+SUMIFS(Hide!$E$23:$E$30, Hide!$B$23:$B$30,$E20, Hide!$D$23:$D$30, H$8)), 2))</f>
        <v>None</v>
      </c>
    </row>
    <row r="21" spans="5:8">
      <c r="E21" s="16" t="s">
        <v>13</v>
      </c>
      <c r="F21" s="3">
        <f>IF(ISERROR((SUMIFS(Hide!$F$8:$F$12, Hide!$B$8:$B$12,$E21, Hide!$D$8:$D$12, F$8)+SUMIFS(Hide!$F$23:$F$30, Hide!$B$23:$B$30,$E21, Hide!$D$23:$D$30, F$8))/(SUMIFS(Hide!$E$8:$E$12, Hide!$B$8:$B$12,$E21, Hide!$D$8:$D$12, F$8)+SUMIFS(Hide!$E$23:$E$30, Hide!$B$23:$B$30,$E21, Hide!$D$23:$D$30, F$8))), "None", ROUND((SUMIFS(Hide!$F$8:$F$12, Hide!$B$8:$B$12,$E21, Hide!$D$8:$D$12, F$8)+SUMIFS(Hide!$F$23:$F$30, Hide!$B$23:$B$30,$E21, Hide!$D$23:$D$30, F$8))/(SUMIFS(Hide!$E$8:$E$12, Hide!$B$8:$B$12,$E21, Hide!$D$8:$D$12, F$8)+SUMIFS(Hide!$E$23:$E$30, Hide!$B$23:$B$30,$E21, Hide!$D$23:$D$30, F$8)), 2))</f>
        <v>1</v>
      </c>
      <c r="G21" s="3" t="str">
        <f>IF(ISERROR((SUMIFS(Hide!$F$8:$F$12, Hide!$B$8:$B$12,$E21, Hide!$D$8:$D$12, G$8)+SUMIFS(Hide!$F$23:$F$30, Hide!$B$23:$B$30,$E21, Hide!$D$23:$D$30, G$8))/(SUMIFS(Hide!$E$8:$E$12, Hide!$B$8:$B$12,$E21, Hide!$D$8:$D$12, G$8)+SUMIFS(Hide!$E$23:$E$30, Hide!$B$23:$B$30,$E21, Hide!$D$23:$D$30, G$8))), "None", ROUND((SUMIFS(Hide!$F$8:$F$12, Hide!$B$8:$B$12,$E21, Hide!$D$8:$D$12, G$8)+SUMIFS(Hide!$F$23:$F$30, Hide!$B$23:$B$30,$E21, Hide!$D$23:$D$30, G$8))/(SUMIFS(Hide!$E$8:$E$12, Hide!$B$8:$B$12,$E21, Hide!$D$8:$D$12, G$8)+SUMIFS(Hide!$E$23:$E$30, Hide!$B$23:$B$30,$E21, Hide!$D$23:$D$30, G$8)), 2))</f>
        <v>None</v>
      </c>
      <c r="H21" s="3" t="str">
        <f>IF(ISERROR((SUMIFS(Hide!$F$8:$F$12, Hide!$B$8:$B$12,$E21, Hide!$D$8:$D$12, H$8)+SUMIFS(Hide!$F$23:$F$30, Hide!$B$23:$B$30,$E21, Hide!$D$23:$D$30, H$8))/(SUMIFS(Hide!$E$8:$E$12, Hide!$B$8:$B$12,$E21, Hide!$D$8:$D$12, H$8)+SUMIFS(Hide!$E$23:$E$30, Hide!$B$23:$B$30,$E21, Hide!$D$23:$D$30, H$8))), "None", ROUND((SUMIFS(Hide!$F$8:$F$12, Hide!$B$8:$B$12,$E21, Hide!$D$8:$D$12, H$8)+SUMIFS(Hide!$F$23:$F$30, Hide!$B$23:$B$30,$E21, Hide!$D$23:$D$30, H$8))/(SUMIFS(Hide!$E$8:$E$12, Hide!$B$8:$B$12,$E21, Hide!$D$8:$D$12, H$8)+SUMIFS(Hide!$E$23:$E$30, Hide!$B$23:$B$30,$E21, Hide!$D$23:$D$30, H$8)), 2))</f>
        <v>None</v>
      </c>
    </row>
    <row r="22" spans="5:8">
      <c r="E22" s="16" t="s">
        <v>11</v>
      </c>
      <c r="F22" s="3" t="str">
        <f>IF(ISERROR((SUMIFS(Hide!$F$8:$F$12, Hide!$B$8:$B$12,$E22, Hide!$D$8:$D$12, F$8)+SUMIFS(Hide!$F$23:$F$30, Hide!$B$23:$B$30,$E22, Hide!$D$23:$D$30, F$8))/(SUMIFS(Hide!$E$8:$E$12, Hide!$B$8:$B$12,$E22, Hide!$D$8:$D$12, F$8)+SUMIFS(Hide!$E$23:$E$30, Hide!$B$23:$B$30,$E22, Hide!$D$23:$D$30, F$8))), "None", ROUND((SUMIFS(Hide!$F$8:$F$12, Hide!$B$8:$B$12,$E22, Hide!$D$8:$D$12, F$8)+SUMIFS(Hide!$F$23:$F$30, Hide!$B$23:$B$30,$E22, Hide!$D$23:$D$30, F$8))/(SUMIFS(Hide!$E$8:$E$12, Hide!$B$8:$B$12,$E22, Hide!$D$8:$D$12, F$8)+SUMIFS(Hide!$E$23:$E$30, Hide!$B$23:$B$30,$E22, Hide!$D$23:$D$30, F$8)), 2))</f>
        <v>None</v>
      </c>
      <c r="G22" s="3" t="str">
        <f>IF(ISERROR((SUMIFS(Hide!$F$8:$F$12, Hide!$B$8:$B$12,$E22, Hide!$D$8:$D$12, G$8)+SUMIFS(Hide!$F$23:$F$30, Hide!$B$23:$B$30,$E22, Hide!$D$23:$D$30, G$8))/(SUMIFS(Hide!$E$8:$E$12, Hide!$B$8:$B$12,$E22, Hide!$D$8:$D$12, G$8)+SUMIFS(Hide!$E$23:$E$30, Hide!$B$23:$B$30,$E22, Hide!$D$23:$D$30, G$8))), "None", ROUND((SUMIFS(Hide!$F$8:$F$12, Hide!$B$8:$B$12,$E22, Hide!$D$8:$D$12, G$8)+SUMIFS(Hide!$F$23:$F$30, Hide!$B$23:$B$30,$E22, Hide!$D$23:$D$30, G$8))/(SUMIFS(Hide!$E$8:$E$12, Hide!$B$8:$B$12,$E22, Hide!$D$8:$D$12, G$8)+SUMIFS(Hide!$E$23:$E$30, Hide!$B$23:$B$30,$E22, Hide!$D$23:$D$30, G$8)), 2))</f>
        <v>None</v>
      </c>
      <c r="H22" s="3">
        <f>IF(ISERROR((SUMIFS(Hide!$F$8:$F$12, Hide!$B$8:$B$12,$E22, Hide!$D$8:$D$12, H$8)+SUMIFS(Hide!$F$23:$F$30, Hide!$B$23:$B$30,$E22, Hide!$D$23:$D$30, H$8))/(SUMIFS(Hide!$E$8:$E$12, Hide!$B$8:$B$12,$E22, Hide!$D$8:$D$12, H$8)+SUMIFS(Hide!$E$23:$E$30, Hide!$B$23:$B$30,$E22, Hide!$D$23:$D$30, H$8))), "None", ROUND((SUMIFS(Hide!$F$8:$F$12, Hide!$B$8:$B$12,$E22, Hide!$D$8:$D$12, H$8)+SUMIFS(Hide!$F$23:$F$30, Hide!$B$23:$B$30,$E22, Hide!$D$23:$D$30, H$8))/(SUMIFS(Hide!$E$8:$E$12, Hide!$B$8:$B$12,$E22, Hide!$D$8:$D$12, H$8)+SUMIFS(Hide!$E$23:$E$30, Hide!$B$23:$B$30,$E22, Hide!$D$23:$D$30, H$8)), 2))</f>
        <v>5</v>
      </c>
    </row>
    <row r="23" spans="5:8">
      <c r="E23" s="16" t="s">
        <v>12</v>
      </c>
      <c r="F23" s="3" t="str">
        <f>IF(ISERROR((SUMIFS(Hide!$F$8:$F$12, Hide!$B$8:$B$12,$E23, Hide!$D$8:$D$12, F$8)+SUMIFS(Hide!$F$23:$F$30, Hide!$B$23:$B$30,$E23, Hide!$D$23:$D$30, F$8))/(SUMIFS(Hide!$E$8:$E$12, Hide!$B$8:$B$12,$E23, Hide!$D$8:$D$12, F$8)+SUMIFS(Hide!$E$23:$E$30, Hide!$B$23:$B$30,$E23, Hide!$D$23:$D$30, F$8))), "None", ROUND((SUMIFS(Hide!$F$8:$F$12, Hide!$B$8:$B$12,$E23, Hide!$D$8:$D$12, F$8)+SUMIFS(Hide!$F$23:$F$30, Hide!$B$23:$B$30,$E23, Hide!$D$23:$D$30, F$8))/(SUMIFS(Hide!$E$8:$E$12, Hide!$B$8:$B$12,$E23, Hide!$D$8:$D$12, F$8)+SUMIFS(Hide!$E$23:$E$30, Hide!$B$23:$B$30,$E23, Hide!$D$23:$D$30, F$8)), 2))</f>
        <v>None</v>
      </c>
      <c r="G23" s="3">
        <f>IF(ISERROR((SUMIFS(Hide!$F$8:$F$12, Hide!$B$8:$B$12,$E23, Hide!$D$8:$D$12, G$8)+SUMIFS(Hide!$F$23:$F$30, Hide!$B$23:$B$30,$E23, Hide!$D$23:$D$30, G$8))/(SUMIFS(Hide!$E$8:$E$12, Hide!$B$8:$B$12,$E23, Hide!$D$8:$D$12, G$8)+SUMIFS(Hide!$E$23:$E$30, Hide!$B$23:$B$30,$E23, Hide!$D$23:$D$30, G$8))), "None", ROUND((SUMIFS(Hide!$F$8:$F$12, Hide!$B$8:$B$12,$E23, Hide!$D$8:$D$12, G$8)+SUMIFS(Hide!$F$23:$F$30, Hide!$B$23:$B$30,$E23, Hide!$D$23:$D$30, G$8))/(SUMIFS(Hide!$E$8:$E$12, Hide!$B$8:$B$12,$E23, Hide!$D$8:$D$12, G$8)+SUMIFS(Hide!$E$23:$E$30, Hide!$B$23:$B$30,$E23, Hide!$D$23:$D$30, G$8)), 2))</f>
        <v>4</v>
      </c>
      <c r="H23" s="3">
        <f>IF(ISERROR((SUMIFS(Hide!$F$8:$F$12, Hide!$B$8:$B$12,$E23, Hide!$D$8:$D$12, H$8)+SUMIFS(Hide!$F$23:$F$30, Hide!$B$23:$B$30,$E23, Hide!$D$23:$D$30, H$8))/(SUMIFS(Hide!$E$8:$E$12, Hide!$B$8:$B$12,$E23, Hide!$D$8:$D$12, H$8)+SUMIFS(Hide!$E$23:$E$30, Hide!$B$23:$B$30,$E23, Hide!$D$23:$D$30, H$8))), "None", ROUND((SUMIFS(Hide!$F$8:$F$12, Hide!$B$8:$B$12,$E23, Hide!$D$8:$D$12, H$8)+SUMIFS(Hide!$F$23:$F$30, Hide!$B$23:$B$30,$E23, Hide!$D$23:$D$30, H$8))/(SUMIFS(Hide!$E$8:$E$12, Hide!$B$8:$B$12,$E23, Hide!$D$8:$D$12, H$8)+SUMIFS(Hide!$E$23:$E$30, Hide!$B$23:$B$30,$E23, Hide!$D$23:$D$30, H$8)), 2))</f>
        <v>2</v>
      </c>
    </row>
    <row r="24" spans="5:8">
      <c r="E24" s="16" t="s">
        <v>6</v>
      </c>
      <c r="F24" s="3">
        <f>IF(ISERROR((SUMIFS(Hide!$F$8:$F$12, Hide!$B$8:$B$12,$E24, Hide!$D$8:$D$12, F$8)+SUMIFS(Hide!$F$23:$F$30, Hide!$B$23:$B$30,$E24, Hide!$D$23:$D$30, F$8))/(SUMIFS(Hide!$E$8:$E$12, Hide!$B$8:$B$12,$E24, Hide!$D$8:$D$12, F$8)+SUMIFS(Hide!$E$23:$E$30, Hide!$B$23:$B$30,$E24, Hide!$D$23:$D$30, F$8))), "None", ROUND((SUMIFS(Hide!$F$8:$F$12, Hide!$B$8:$B$12,$E24, Hide!$D$8:$D$12, F$8)+SUMIFS(Hide!$F$23:$F$30, Hide!$B$23:$B$30,$E24, Hide!$D$23:$D$30, F$8))/(SUMIFS(Hide!$E$8:$E$12, Hide!$B$8:$B$12,$E24, Hide!$D$8:$D$12, F$8)+SUMIFS(Hide!$E$23:$E$30, Hide!$B$23:$B$30,$E24, Hide!$D$23:$D$30, F$8)), 2))</f>
        <v>3</v>
      </c>
      <c r="G24" s="3">
        <f>IF(ISERROR((SUMIFS(Hide!$F$8:$F$12, Hide!$B$8:$B$12,$E24, Hide!$D$8:$D$12, G$8)+SUMIFS(Hide!$F$23:$F$30, Hide!$B$23:$B$30,$E24, Hide!$D$23:$D$30, G$8))/(SUMIFS(Hide!$E$8:$E$12, Hide!$B$8:$B$12,$E24, Hide!$D$8:$D$12, G$8)+SUMIFS(Hide!$E$23:$E$30, Hide!$B$23:$B$30,$E24, Hide!$D$23:$D$30, G$8))), "None", ROUND((SUMIFS(Hide!$F$8:$F$12, Hide!$B$8:$B$12,$E24, Hide!$D$8:$D$12, G$8)+SUMIFS(Hide!$F$23:$F$30, Hide!$B$23:$B$30,$E24, Hide!$D$23:$D$30, G$8))/(SUMIFS(Hide!$E$8:$E$12, Hide!$B$8:$B$12,$E24, Hide!$D$8:$D$12, G$8)+SUMIFS(Hide!$E$23:$E$30, Hide!$B$23:$B$30,$E24, Hide!$D$23:$D$30, G$8)), 2))</f>
        <v>2.67</v>
      </c>
      <c r="H24" s="3" t="str">
        <f>IF(ISERROR((SUMIFS(Hide!$F$8:$F$12, Hide!$B$8:$B$12,$E24, Hide!$D$8:$D$12, H$8)+SUMIFS(Hide!$F$23:$F$30, Hide!$B$23:$B$30,$E24, Hide!$D$23:$D$30, H$8))/(SUMIFS(Hide!$E$8:$E$12, Hide!$B$8:$B$12,$E24, Hide!$D$8:$D$12, H$8)+SUMIFS(Hide!$E$23:$E$30, Hide!$B$23:$B$30,$E24, Hide!$D$23:$D$30, H$8))), "None", ROUND((SUMIFS(Hide!$F$8:$F$12, Hide!$B$8:$B$12,$E24, Hide!$D$8:$D$12, H$8)+SUMIFS(Hide!$F$23:$F$30, Hide!$B$23:$B$30,$E24, Hide!$D$23:$D$30, H$8))/(SUMIFS(Hide!$E$8:$E$12, Hide!$B$8:$B$12,$E24, Hide!$D$8:$D$12, H$8)+SUMIFS(Hide!$E$23:$E$30, Hide!$B$23:$B$30,$E24, Hide!$D$23:$D$30, H$8)), 2))</f>
        <v>None</v>
      </c>
    </row>
    <row r="25" spans="5:8">
      <c r="E25" s="16" t="s">
        <v>8</v>
      </c>
      <c r="F25" s="3">
        <f>IF(ISERROR((SUMIFS(Hide!$F$8:$F$12, Hide!$B$8:$B$12,$E25, Hide!$D$8:$D$12, F$8)+SUMIFS(Hide!$F$23:$F$30, Hide!$B$23:$B$30,$E25, Hide!$D$23:$D$30, F$8))/(SUMIFS(Hide!$E$8:$E$12, Hide!$B$8:$B$12,$E25, Hide!$D$8:$D$12, F$8)+SUMIFS(Hide!$E$23:$E$30, Hide!$B$23:$B$30,$E25, Hide!$D$23:$D$30, F$8))), "None", ROUND((SUMIFS(Hide!$F$8:$F$12, Hide!$B$8:$B$12,$E25, Hide!$D$8:$D$12, F$8)+SUMIFS(Hide!$F$23:$F$30, Hide!$B$23:$B$30,$E25, Hide!$D$23:$D$30, F$8))/(SUMIFS(Hide!$E$8:$E$12, Hide!$B$8:$B$12,$E25, Hide!$D$8:$D$12, F$8)+SUMIFS(Hide!$E$23:$E$30, Hide!$B$23:$B$30,$E25, Hide!$D$23:$D$30, F$8)), 2))</f>
        <v>3</v>
      </c>
      <c r="G25" s="3" t="str">
        <f>IF(ISERROR((SUMIFS(Hide!$F$8:$F$12, Hide!$B$8:$B$12,$E25, Hide!$D$8:$D$12, G$8)+SUMIFS(Hide!$F$23:$F$30, Hide!$B$23:$B$30,$E25, Hide!$D$23:$D$30, G$8))/(SUMIFS(Hide!$E$8:$E$12, Hide!$B$8:$B$12,$E25, Hide!$D$8:$D$12, G$8)+SUMIFS(Hide!$E$23:$E$30, Hide!$B$23:$B$30,$E25, Hide!$D$23:$D$30, G$8))), "None", ROUND((SUMIFS(Hide!$F$8:$F$12, Hide!$B$8:$B$12,$E25, Hide!$D$8:$D$12, G$8)+SUMIFS(Hide!$F$23:$F$30, Hide!$B$23:$B$30,$E25, Hide!$D$23:$D$30, G$8))/(SUMIFS(Hide!$E$8:$E$12, Hide!$B$8:$B$12,$E25, Hide!$D$8:$D$12, G$8)+SUMIFS(Hide!$E$23:$E$30, Hide!$B$23:$B$30,$E25, Hide!$D$23:$D$30, G$8)), 2))</f>
        <v>None</v>
      </c>
      <c r="H25" s="3" t="str">
        <f>IF(ISERROR((SUMIFS(Hide!$F$8:$F$12, Hide!$B$8:$B$12,$E25, Hide!$D$8:$D$12, H$8)+SUMIFS(Hide!$F$23:$F$30, Hide!$B$23:$B$30,$E25, Hide!$D$23:$D$30, H$8))/(SUMIFS(Hide!$E$8:$E$12, Hide!$B$8:$B$12,$E25, Hide!$D$8:$D$12, H$8)+SUMIFS(Hide!$E$23:$E$30, Hide!$B$23:$B$30,$E25, Hide!$D$23:$D$30, H$8))), "None", ROUND((SUMIFS(Hide!$F$8:$F$12, Hide!$B$8:$B$12,$E25, Hide!$D$8:$D$12, H$8)+SUMIFS(Hide!$F$23:$F$30, Hide!$B$23:$B$30,$E25, Hide!$D$23:$D$30, H$8))/(SUMIFS(Hide!$E$8:$E$12, Hide!$B$8:$B$12,$E25, Hide!$D$8:$D$12, H$8)+SUMIFS(Hide!$E$23:$E$30, Hide!$B$23:$B$30,$E25, Hide!$D$23:$D$30, H$8)), 2))</f>
        <v>None</v>
      </c>
    </row>
    <row r="26" spans="5:8">
      <c r="E26" s="18" t="s">
        <v>18</v>
      </c>
      <c r="F26" s="3">
        <f>IF(ISERROR(ROUND(AVERAGE(F19:F25), 2)), "None", ROUND(AVERAGE(F19:F25), 2))</f>
        <v>3</v>
      </c>
      <c r="G26" s="3">
        <f t="shared" ref="G26:H26" si="1">IF(ISERROR(ROUND(AVERAGE(G19:G25), 2)), "None", ROUND(AVERAGE(G19:G25), 2))</f>
        <v>3.56</v>
      </c>
      <c r="H26" s="3">
        <f t="shared" si="1"/>
        <v>3.5</v>
      </c>
    </row>
  </sheetData>
  <sheetProtection algorithmName="SHA-512" hashValue="3nb6vp+8LgD7CIT5NTYEoe5GA6wlWe89T99ViyHYOM3+6HFFHtJk1BzM1425iLsnpXWNkiZ7HNSa081Y/Xcg6A==" saltValue="jHSEKaFulP7RqeHLa3ICgg==" spinCount="100000" sheet="1" objects="1" scenarios="1"/>
  <sortState xmlns:xlrd2="http://schemas.microsoft.com/office/spreadsheetml/2017/richdata2" ref="E8:E18">
    <sortCondition ref="E8:E18"/>
  </sortState>
  <mergeCells count="2">
    <mergeCell ref="B1:H1"/>
    <mergeCell ref="F7:H7"/>
  </mergeCells>
  <conditionalFormatting sqref="F10:H17">
    <cfRule type="colorScale" priority="3">
      <colorScale>
        <cfvo type="min"/>
        <cfvo type="percentile" val="50"/>
        <cfvo type="max"/>
        <color rgb="FFFF0000"/>
        <color rgb="FFFFC000"/>
        <color theme="9"/>
      </colorScale>
    </cfRule>
  </conditionalFormatting>
  <conditionalFormatting sqref="F19:H25">
    <cfRule type="colorScale" priority="2">
      <colorScale>
        <cfvo type="min"/>
        <cfvo type="percentile" val="50"/>
        <cfvo type="max"/>
        <color rgb="FFFF0000"/>
        <color rgb="FFFFC000"/>
        <color theme="9"/>
      </colorScale>
    </cfRule>
  </conditionalFormatting>
  <conditionalFormatting sqref="F26:H26">
    <cfRule type="colorScale" priority="1">
      <colorScale>
        <cfvo type="min"/>
        <cfvo type="percentile" val="50"/>
        <cfvo type="max"/>
        <color rgb="FFFF0000"/>
        <color rgb="FFFFC000"/>
        <color theme="9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Group Box 2">
              <controlPr defaultSize="0" autoFill="0" autoPict="0">
                <anchor moveWithCells="1">
                  <from>
                    <xdr:col>0</xdr:col>
                    <xdr:colOff>88900</xdr:colOff>
                    <xdr:row>7</xdr:row>
                    <xdr:rowOff>69850</xdr:rowOff>
                  </from>
                  <to>
                    <xdr:col>3</xdr:col>
                    <xdr:colOff>6350</xdr:colOff>
                    <xdr:row>26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Group Box 3">
              <controlPr defaultSize="0" autoFill="0" autoPict="0">
                <anchor moveWithCells="1">
                  <from>
                    <xdr:col>1</xdr:col>
                    <xdr:colOff>12700</xdr:colOff>
                    <xdr:row>13</xdr:row>
                    <xdr:rowOff>19050</xdr:rowOff>
                  </from>
                  <to>
                    <xdr:col>1</xdr:col>
                    <xdr:colOff>7816850</xdr:colOff>
                    <xdr:row>18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Group Box 4">
              <controlPr defaultSize="0" autoFill="0" autoPict="0">
                <anchor moveWithCells="1">
                  <from>
                    <xdr:col>1</xdr:col>
                    <xdr:colOff>6350</xdr:colOff>
                    <xdr:row>19</xdr:row>
                    <xdr:rowOff>12700</xdr:rowOff>
                  </from>
                  <to>
                    <xdr:col>1</xdr:col>
                    <xdr:colOff>7810500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Group Box 5">
              <controlPr defaultSize="0" autoFill="0" autoPict="0">
                <anchor moveWithCells="1">
                  <from>
                    <xdr:col>1</xdr:col>
                    <xdr:colOff>3435350</xdr:colOff>
                    <xdr:row>1</xdr:row>
                    <xdr:rowOff>114300</xdr:rowOff>
                  </from>
                  <to>
                    <xdr:col>5</xdr:col>
                    <xdr:colOff>184150</xdr:colOff>
                    <xdr:row>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CC92E-F9D7-4B7B-9913-EDB7477B9E6B}">
  <sheetPr codeName="Sheet3"/>
  <dimension ref="A2:P119"/>
  <sheetViews>
    <sheetView workbookViewId="0">
      <selection activeCell="B3" sqref="B3"/>
    </sheetView>
  </sheetViews>
  <sheetFormatPr defaultRowHeight="12.5"/>
  <cols>
    <col min="1" max="1" width="71.08984375" style="4" customWidth="1"/>
    <col min="2" max="2" width="13.6328125" style="4" customWidth="1"/>
    <col min="3" max="3" width="24.36328125" style="4" customWidth="1"/>
    <col min="4" max="4" width="13.36328125" style="4" customWidth="1"/>
    <col min="5" max="16384" width="8.7265625" style="4"/>
  </cols>
  <sheetData>
    <row r="2" spans="1:16">
      <c r="B2" s="4" t="s">
        <v>15</v>
      </c>
    </row>
    <row r="3" spans="1:16">
      <c r="A3" s="4" t="s">
        <v>1</v>
      </c>
      <c r="B3" s="4">
        <v>2</v>
      </c>
    </row>
    <row r="4" spans="1:16">
      <c r="A4" s="4" t="s">
        <v>2</v>
      </c>
      <c r="B4" s="4">
        <v>1.5</v>
      </c>
    </row>
    <row r="5" spans="1:16">
      <c r="A5" s="4" t="s">
        <v>14</v>
      </c>
      <c r="B5" s="4">
        <v>1</v>
      </c>
    </row>
    <row r="6" spans="1:16">
      <c r="A6" s="5"/>
      <c r="B6" s="6"/>
      <c r="E6" s="7"/>
      <c r="F6" s="8"/>
      <c r="G6" s="9"/>
      <c r="H6" s="9"/>
      <c r="I6" s="9"/>
      <c r="J6" s="9"/>
      <c r="K6" s="9"/>
      <c r="L6" s="9"/>
      <c r="M6" s="9"/>
      <c r="N6" s="9"/>
      <c r="O6" s="9"/>
      <c r="P6" s="9"/>
    </row>
    <row r="7" spans="1:16">
      <c r="A7" s="5" t="str">
        <f>INPUTS!A10</f>
        <v>GenAI Applications (Generalized &amp; Specialized)
Generate new content based on text or non-text prompts</v>
      </c>
      <c r="B7" s="5"/>
      <c r="C7" s="5"/>
      <c r="D7" s="5"/>
      <c r="E7" s="5"/>
      <c r="F7" s="8"/>
      <c r="G7" s="9"/>
      <c r="H7" s="9"/>
      <c r="I7" s="9"/>
      <c r="J7" s="9"/>
      <c r="K7" s="9"/>
      <c r="L7" s="9"/>
      <c r="M7" s="9"/>
      <c r="N7" s="9"/>
      <c r="O7" s="9"/>
      <c r="P7" s="9"/>
    </row>
    <row r="8" spans="1:16">
      <c r="A8" s="5" t="str">
        <f>INPUTS!A11</f>
        <v>Degree of formalized GenAI governance across the non-profit</v>
      </c>
      <c r="B8" s="5" t="str">
        <f>INPUTS!B11</f>
        <v>Process</v>
      </c>
      <c r="C8" s="5">
        <f>INPUTS!C11</f>
        <v>2</v>
      </c>
      <c r="D8" s="5" t="str">
        <f>INPUTS!D11</f>
        <v>Important</v>
      </c>
      <c r="E8" s="5">
        <f>VLOOKUP(D8, $A$3:$B$5,2,FALSE)</f>
        <v>1.5</v>
      </c>
      <c r="F8" s="8">
        <f>C8*E8</f>
        <v>3</v>
      </c>
      <c r="G8" s="9"/>
      <c r="H8" s="9"/>
      <c r="I8" s="9"/>
      <c r="J8" s="9"/>
      <c r="K8" s="9"/>
      <c r="L8" s="9"/>
      <c r="M8" s="9"/>
      <c r="N8" s="9"/>
      <c r="O8" s="9"/>
      <c r="P8" s="9"/>
    </row>
    <row r="9" spans="1:16">
      <c r="A9" s="5" t="str">
        <f>INPUTS!A12</f>
        <v>Degree of GenAI literacy of non-profit's staff</v>
      </c>
      <c r="B9" s="5" t="str">
        <f>INPUTS!B12</f>
        <v>People</v>
      </c>
      <c r="C9" s="5">
        <f>INPUTS!C12</f>
        <v>2</v>
      </c>
      <c r="D9" s="5" t="str">
        <f>INPUTS!D12</f>
        <v>Critical</v>
      </c>
      <c r="E9" s="5">
        <f t="shared" ref="E9:E30" si="0">VLOOKUP(D9, $A$3:$B$5,2,FALSE)</f>
        <v>2</v>
      </c>
      <c r="F9" s="8">
        <f t="shared" ref="F9:F30" si="1">C9*E9</f>
        <v>4</v>
      </c>
      <c r="G9" s="9"/>
      <c r="H9" s="9"/>
      <c r="I9" s="9"/>
      <c r="J9" s="9"/>
      <c r="K9" s="9"/>
      <c r="L9" s="9"/>
      <c r="M9" s="9"/>
      <c r="N9" s="9"/>
      <c r="O9" s="9"/>
      <c r="P9" s="9"/>
    </row>
    <row r="10" spans="1:16">
      <c r="A10" s="5" t="str">
        <f>INPUTS!A13</f>
        <v>Degree that the non-profit trusts underlying GenAI applications</v>
      </c>
      <c r="B10" s="5" t="str">
        <f>INPUTS!B13</f>
        <v>Trust</v>
      </c>
      <c r="C10" s="5">
        <f>INPUTS!C13</f>
        <v>3</v>
      </c>
      <c r="D10" s="5" t="str">
        <f>INPUTS!D13</f>
        <v>Manageable</v>
      </c>
      <c r="E10" s="5">
        <f t="shared" si="0"/>
        <v>1</v>
      </c>
      <c r="F10" s="8">
        <f t="shared" si="1"/>
        <v>3</v>
      </c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16">
      <c r="A11" s="5" t="str">
        <f>INPUTS!A14</f>
        <v>Degree that the non-profit is prepared to dispel the overhead myth with GenAI application investments</v>
      </c>
      <c r="B11" s="5" t="str">
        <f>INPUTS!B14</f>
        <v>Process</v>
      </c>
      <c r="C11" s="5">
        <f>INPUTS!C14</f>
        <v>4</v>
      </c>
      <c r="D11" s="5" t="str">
        <f>INPUTS!D14</f>
        <v>Important</v>
      </c>
      <c r="E11" s="5">
        <f t="shared" si="0"/>
        <v>1.5</v>
      </c>
      <c r="F11" s="8">
        <f t="shared" si="1"/>
        <v>6</v>
      </c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1:16">
      <c r="A12" s="5" t="str">
        <f>INPUTS!A15</f>
        <v>Degree that the non-profit is committed to change its services and work processes using GenAI applications</v>
      </c>
      <c r="B12" s="5" t="str">
        <f>INPUTS!B15</f>
        <v>Culture</v>
      </c>
      <c r="C12" s="5">
        <f>INPUTS!C15</f>
        <v>5</v>
      </c>
      <c r="D12" s="5" t="str">
        <f>INPUTS!D15</f>
        <v>Manageable</v>
      </c>
      <c r="E12" s="5">
        <f t="shared" si="0"/>
        <v>1</v>
      </c>
      <c r="F12" s="8">
        <f t="shared" si="1"/>
        <v>5</v>
      </c>
      <c r="G12" s="9"/>
      <c r="H12" s="9"/>
      <c r="I12" s="9"/>
      <c r="J12" s="9"/>
      <c r="K12" s="9"/>
      <c r="L12" s="9"/>
      <c r="M12" s="9"/>
      <c r="N12" s="10"/>
      <c r="O12" s="11"/>
      <c r="P12" s="12"/>
    </row>
    <row r="13" spans="1:16">
      <c r="A13" s="5"/>
      <c r="B13" s="5"/>
      <c r="C13" s="5"/>
      <c r="D13" s="5"/>
      <c r="E13" s="5"/>
      <c r="F13" s="8"/>
    </row>
    <row r="14" spans="1:16">
      <c r="A14" s="5" t="str">
        <f>INPUTS!A16</f>
        <v>Generalized GenAI Applications
These are a “jack of all trades but a master of none” designed to cover a wide range of prompts across many topic areas. Exanples include Gemini, ChatGPT, and Claude.</v>
      </c>
      <c r="B14" s="5"/>
      <c r="C14" s="5"/>
      <c r="D14" s="5"/>
      <c r="E14" s="5"/>
      <c r="F14" s="8"/>
    </row>
    <row r="15" spans="1:16">
      <c r="A15" s="5" t="str">
        <f>INPUTS!A17</f>
        <v>Degree of understanding of the security &amp; privacy issues associated with using generalized GenAI applications at the non-profit</v>
      </c>
      <c r="B15" s="5" t="str">
        <f>INPUTS!B17</f>
        <v>Knowledge</v>
      </c>
      <c r="C15" s="5">
        <f>INPUTS!C17</f>
        <v>2</v>
      </c>
      <c r="D15" s="5" t="str">
        <f>INPUTS!D17</f>
        <v>Important</v>
      </c>
      <c r="E15" s="5">
        <f t="shared" si="0"/>
        <v>1.5</v>
      </c>
      <c r="F15" s="8">
        <f t="shared" si="1"/>
        <v>3</v>
      </c>
    </row>
    <row r="16" spans="1:16">
      <c r="A16" s="5" t="str">
        <f>INPUTS!A18</f>
        <v>Degree that the non-profit is comfortable giving up agency for a single task or set of tasks in part or in full to a generalized GenAI application</v>
      </c>
      <c r="B16" s="5" t="str">
        <f>INPUTS!B18</f>
        <v>Agency</v>
      </c>
      <c r="C16" s="5">
        <f>INPUTS!C18</f>
        <v>4</v>
      </c>
      <c r="D16" s="5" t="str">
        <f>INPUTS!D18</f>
        <v>Critical</v>
      </c>
      <c r="E16" s="5">
        <f t="shared" si="0"/>
        <v>2</v>
      </c>
      <c r="F16" s="8">
        <f t="shared" si="1"/>
        <v>8</v>
      </c>
    </row>
    <row r="17" spans="1:6">
      <c r="A17" s="5" t="str">
        <f>INPUTS!A19</f>
        <v>Degree that the non-profit has defined generalized GenAI ethical &amp; appropriate use doctrines and which applications are acceptable</v>
      </c>
      <c r="B17" s="5" t="str">
        <f>INPUTS!B19</f>
        <v>Process</v>
      </c>
      <c r="C17" s="5">
        <f>INPUTS!C19</f>
        <v>1</v>
      </c>
      <c r="D17" s="5" t="str">
        <f>INPUTS!D19</f>
        <v>Important</v>
      </c>
      <c r="E17" s="5">
        <f t="shared" si="0"/>
        <v>1.5</v>
      </c>
      <c r="F17" s="8">
        <f t="shared" si="1"/>
        <v>1.5</v>
      </c>
    </row>
    <row r="18" spans="1:6">
      <c r="A18" s="5" t="str">
        <f>INPUTS!A20</f>
        <v>Degree that the non-profit has legal support to protect its data and intellectual property due to generalized GenAI prompts</v>
      </c>
      <c r="B18" s="5" t="str">
        <f>INPUTS!B20</f>
        <v>Legal</v>
      </c>
      <c r="C18" s="5">
        <f>INPUTS!C20</f>
        <v>3</v>
      </c>
      <c r="D18" s="5" t="str">
        <f>INPUTS!D20</f>
        <v>Manageable</v>
      </c>
      <c r="E18" s="5">
        <f t="shared" si="0"/>
        <v>1</v>
      </c>
      <c r="F18" s="8">
        <f t="shared" si="1"/>
        <v>3</v>
      </c>
    </row>
    <row r="19" spans="1:6">
      <c r="A19" s="5" t="str">
        <f>INPUTS!A21</f>
        <v>Degree that the non-profit is comfortable with the potential negative consequences of a generalized GenAI application owner being sued</v>
      </c>
      <c r="B19" s="5" t="str">
        <f>INPUTS!B21</f>
        <v>Legal</v>
      </c>
      <c r="C19" s="5">
        <f>INPUTS!C21</f>
        <v>2</v>
      </c>
      <c r="D19" s="5" t="str">
        <f>INPUTS!D21</f>
        <v>Important</v>
      </c>
      <c r="E19" s="5">
        <f t="shared" si="0"/>
        <v>1.5</v>
      </c>
      <c r="F19" s="8">
        <f t="shared" si="1"/>
        <v>3</v>
      </c>
    </row>
    <row r="20" spans="1:6">
      <c r="A20" s="5" t="str">
        <f>INPUTS!A22</f>
        <v>Degree that the non-profit understands the regulatory issues associated with generalized GenAI use</v>
      </c>
      <c r="B20" s="5" t="str">
        <f>INPUTS!B22</f>
        <v>Knowledge</v>
      </c>
      <c r="C20" s="5">
        <f>INPUTS!C22</f>
        <v>4</v>
      </c>
      <c r="D20" s="5" t="str">
        <f>INPUTS!D22</f>
        <v>Manageable</v>
      </c>
      <c r="E20" s="5">
        <f t="shared" si="0"/>
        <v>1</v>
      </c>
      <c r="F20" s="8">
        <f t="shared" si="1"/>
        <v>4</v>
      </c>
    </row>
    <row r="21" spans="1:6">
      <c r="A21" s="5"/>
      <c r="B21" s="5"/>
      <c r="C21" s="5"/>
      <c r="D21" s="5"/>
      <c r="E21" s="5"/>
      <c r="F21" s="8"/>
    </row>
    <row r="22" spans="1:6">
      <c r="A22" s="5" t="str">
        <f>INPUTS!A23</f>
        <v xml:space="preserve">Specialized GenAI Applications
These applications have limited scope but have the potential to deliver high quality solutions in their targeted niche. </v>
      </c>
      <c r="B22" s="5"/>
      <c r="C22" s="5"/>
      <c r="D22" s="5"/>
      <c r="E22" s="5"/>
      <c r="F22" s="8"/>
    </row>
    <row r="23" spans="1:6">
      <c r="A23" s="5" t="str">
        <f>INPUTS!A24</f>
        <v>Degree that the non-profit has the funds allocated for short-term and long-term specialized GenAI development and maintenance</v>
      </c>
      <c r="B23" s="5" t="str">
        <f>INPUTS!B24</f>
        <v>Financial</v>
      </c>
      <c r="C23" s="5">
        <f>INPUTS!C24</f>
        <v>1</v>
      </c>
      <c r="D23" s="5" t="str">
        <f>INPUTS!D24</f>
        <v>Manageable</v>
      </c>
      <c r="E23" s="5">
        <f t="shared" si="0"/>
        <v>1</v>
      </c>
      <c r="F23" s="8">
        <f t="shared" si="1"/>
        <v>1</v>
      </c>
    </row>
    <row r="24" spans="1:6">
      <c r="A24" s="5" t="str">
        <f>INPUTS!A25</f>
        <v>Degree that the non-profit's partners associated with supporting specialized GenAI systems are stable and trustworthy</v>
      </c>
      <c r="B24" s="5" t="str">
        <f>INPUTS!B25</f>
        <v>People</v>
      </c>
      <c r="C24" s="5">
        <f>INPUTS!C25</f>
        <v>3</v>
      </c>
      <c r="D24" s="5" t="str">
        <f>INPUTS!D25</f>
        <v>Critical</v>
      </c>
      <c r="E24" s="5">
        <f t="shared" si="0"/>
        <v>2</v>
      </c>
      <c r="F24" s="8">
        <f t="shared" si="1"/>
        <v>6</v>
      </c>
    </row>
    <row r="25" spans="1:6">
      <c r="A25" s="5" t="str">
        <f>INPUTS!A26</f>
        <v>Degree that the non-profit is prepared to give up agency over a single or set of tasks in part or in full due to specialized GenAI application</v>
      </c>
      <c r="B25" s="5" t="str">
        <f>INPUTS!B26</f>
        <v>Agency</v>
      </c>
      <c r="C25" s="5">
        <f>INPUTS!C26</f>
        <v>4</v>
      </c>
      <c r="D25" s="5" t="str">
        <f>INPUTS!D26</f>
        <v>Important</v>
      </c>
      <c r="E25" s="5">
        <f t="shared" si="0"/>
        <v>1.5</v>
      </c>
      <c r="F25" s="8">
        <f t="shared" si="1"/>
        <v>6</v>
      </c>
    </row>
    <row r="26" spans="1:6">
      <c r="A26" s="5" t="str">
        <f>INPUTS!A27</f>
        <v>Degree that the non-profit understands transparency, fairness, and equitable issues of the specialized GenAI application</v>
      </c>
      <c r="B26" s="5" t="str">
        <f>INPUTS!B27</f>
        <v>Knowledge</v>
      </c>
      <c r="C26" s="5">
        <f>INPUTS!C27</f>
        <v>5</v>
      </c>
      <c r="D26" s="5" t="str">
        <f>INPUTS!D27</f>
        <v>Critical</v>
      </c>
      <c r="E26" s="5">
        <f t="shared" si="0"/>
        <v>2</v>
      </c>
      <c r="F26" s="8">
        <f t="shared" si="1"/>
        <v>10</v>
      </c>
    </row>
    <row r="27" spans="1:6">
      <c r="A27" s="5" t="str">
        <f>INPUTS!A28</f>
        <v>Degree that the non-profit is prepared to destroy the specialized GenAI application if it is deemed to have used copyrighted, stolen, or unethically obtained data</v>
      </c>
      <c r="B27" s="5" t="str">
        <f>INPUTS!B28</f>
        <v>Process</v>
      </c>
      <c r="C27" s="5">
        <f>INPUTS!C28</f>
        <v>3</v>
      </c>
      <c r="D27" s="5" t="str">
        <f>INPUTS!D28</f>
        <v>Manageable</v>
      </c>
      <c r="E27" s="5">
        <f t="shared" si="0"/>
        <v>1</v>
      </c>
      <c r="F27" s="8">
        <f t="shared" si="1"/>
        <v>3</v>
      </c>
    </row>
    <row r="28" spans="1:6">
      <c r="A28" s="5" t="str">
        <f>INPUTS!A29</f>
        <v>Degree that the non-profit understands and has the capabilities to manage internal and external data issues (e.g., compensating data sources, quality, access, security, privacy, &amp; cross-jurisdictional)</v>
      </c>
      <c r="B28" s="5" t="str">
        <f>INPUTS!B29</f>
        <v>Process</v>
      </c>
      <c r="C28" s="5">
        <f>INPUTS!C29</f>
        <v>2</v>
      </c>
      <c r="D28" s="5" t="str">
        <f>INPUTS!D29</f>
        <v>Important</v>
      </c>
      <c r="E28" s="5">
        <f t="shared" si="0"/>
        <v>1.5</v>
      </c>
      <c r="F28" s="8">
        <f t="shared" si="1"/>
        <v>3</v>
      </c>
    </row>
    <row r="29" spans="1:6">
      <c r="A29" s="5" t="str">
        <f>INPUTS!A30</f>
        <v>Degree that the non-profit's staff has the knowledge, skills, and abilities to develop and maintain specialized GenAI applications</v>
      </c>
      <c r="B29" s="5" t="str">
        <f>INPUTS!B30</f>
        <v>People</v>
      </c>
      <c r="C29" s="5">
        <f>INPUTS!C30</f>
        <v>1</v>
      </c>
      <c r="D29" s="5" t="str">
        <f>INPUTS!D30</f>
        <v>Critical</v>
      </c>
      <c r="E29" s="5">
        <f t="shared" si="0"/>
        <v>2</v>
      </c>
      <c r="F29" s="8">
        <f t="shared" si="1"/>
        <v>2</v>
      </c>
    </row>
    <row r="30" spans="1:6">
      <c r="A30" s="5" t="str">
        <f>INPUTS!A31</f>
        <v>Degree that the non-profit has the executive sponsorship to support the development of specialized GenAI applications</v>
      </c>
      <c r="B30" s="5" t="str">
        <f>INPUTS!B31</f>
        <v>People</v>
      </c>
      <c r="C30" s="5">
        <f>INPUTS!C31</f>
        <v>4</v>
      </c>
      <c r="D30" s="5" t="str">
        <f>INPUTS!D31</f>
        <v>Important</v>
      </c>
      <c r="E30" s="5">
        <f t="shared" si="0"/>
        <v>1.5</v>
      </c>
      <c r="F30" s="8">
        <f t="shared" si="1"/>
        <v>6</v>
      </c>
    </row>
    <row r="31" spans="1:6">
      <c r="A31" s="5"/>
      <c r="B31" s="5"/>
      <c r="C31" s="5"/>
      <c r="D31" s="5"/>
      <c r="E31" s="5"/>
      <c r="F31" s="8"/>
    </row>
    <row r="32" spans="1:6">
      <c r="A32" s="5"/>
      <c r="B32" s="5"/>
      <c r="C32" s="5"/>
      <c r="D32" s="5"/>
      <c r="E32" s="5"/>
      <c r="F32" s="8"/>
    </row>
    <row r="33" spans="1:6">
      <c r="A33" s="5"/>
      <c r="B33" s="5"/>
      <c r="C33" s="5"/>
      <c r="D33" s="5"/>
      <c r="E33" s="5"/>
    </row>
    <row r="34" spans="1:6">
      <c r="A34" s="5" t="s">
        <v>7</v>
      </c>
      <c r="B34" s="5">
        <f>SUMIF($B$8:$B$12,A34, $F$8:$F$12)/SUMIF($B$8:$B$12,A34, $E$8:$E$12)</f>
        <v>5</v>
      </c>
      <c r="C34" s="5" t="str">
        <f>CONCATENATE(A34, ": ", ROUND(BOTH1,1))</f>
        <v>Culture: 5</v>
      </c>
      <c r="D34" s="5"/>
      <c r="E34" s="5"/>
      <c r="F34" s="8"/>
    </row>
    <row r="35" spans="1:6">
      <c r="A35" s="5" t="s">
        <v>12</v>
      </c>
      <c r="B35" s="5">
        <f>SUMIF($B$8:$B$12,A35, $F$8:$F$12)/SUMIF($B$8:$B$12,A35, $E$8:$E$12)</f>
        <v>2</v>
      </c>
      <c r="C35" s="5" t="str">
        <f>CONCATENATE(A35, ": ", ROUND(BOTH3,1))</f>
        <v>People: 2</v>
      </c>
      <c r="D35" s="5"/>
      <c r="E35" s="5"/>
      <c r="F35" s="8"/>
    </row>
    <row r="36" spans="1:6">
      <c r="A36" s="5" t="s">
        <v>6</v>
      </c>
      <c r="B36" s="5">
        <f>SUMIF($B$8:$B$12,A36, $F$8:$F$12)/SUMIF($B$8:$B$12,A36, $E$8:$E$12)</f>
        <v>3</v>
      </c>
      <c r="C36" s="5" t="str">
        <f>CONCATENATE(A36, ": ", ROUND(BOTH4,1))</f>
        <v>Process: 3</v>
      </c>
      <c r="D36" s="5"/>
      <c r="E36" s="5"/>
    </row>
    <row r="37" spans="1:6">
      <c r="A37" s="5" t="s">
        <v>8</v>
      </c>
      <c r="B37" s="5">
        <f>SUMIF($B$8:$B$12,A37, $F$8:$F$12)/SUMIF($B$8:$B$12,A37, $E$8:$E$12)</f>
        <v>3</v>
      </c>
      <c r="C37" s="5" t="str">
        <f>CONCATENATE(A37, ": ", ROUND(BOTH5,1))</f>
        <v>Trust: 3</v>
      </c>
      <c r="D37" s="5"/>
      <c r="E37" s="5"/>
    </row>
    <row r="38" spans="1:6">
      <c r="B38" s="5"/>
      <c r="C38" s="5"/>
      <c r="D38" s="5"/>
      <c r="E38" s="5"/>
      <c r="F38" s="8"/>
    </row>
    <row r="39" spans="1:6">
      <c r="A39" s="5" t="s">
        <v>0</v>
      </c>
      <c r="B39" s="5"/>
      <c r="C39" s="5"/>
      <c r="D39" s="5"/>
      <c r="E39" s="5"/>
      <c r="F39" s="8"/>
    </row>
    <row r="40" spans="1:6">
      <c r="A40" s="5" t="s">
        <v>9</v>
      </c>
      <c r="B40" s="5">
        <f>SUMIF($B$15:$B$20,A40, $F$15:$F$20)/SUMIF($B$15:$B$20,A40, $E$15:$E$20)</f>
        <v>4</v>
      </c>
      <c r="C40" s="5" t="str">
        <f>CONCATENATE(A40, ": ", ROUND(GENAI1,1))</f>
        <v>Agency: 4</v>
      </c>
      <c r="D40" s="5"/>
      <c r="E40" s="5"/>
      <c r="F40" s="8"/>
    </row>
    <row r="41" spans="1:6">
      <c r="A41" s="4" t="s">
        <v>11</v>
      </c>
      <c r="B41" s="5">
        <f>SUMIF($B$15:$B$20,A41, $F$15:$F$20)/SUMIF($B$15:$B$20,A41, $E$15:$E$20)</f>
        <v>2.8</v>
      </c>
      <c r="C41" s="5" t="str">
        <f>CONCATENATE(A41, ": ", ROUND(GENAI2,1))</f>
        <v>Knowledge: 2.8</v>
      </c>
      <c r="D41" s="5"/>
      <c r="E41" s="5"/>
      <c r="F41" s="8"/>
    </row>
    <row r="42" spans="1:6">
      <c r="A42" s="5" t="s">
        <v>10</v>
      </c>
      <c r="B42" s="5">
        <f>SUMIF($B$15:$B$20,A42, $F$15:$F$20)/SUMIF($B$15:$B$20,A42, $E$15:$E$20)</f>
        <v>2.4</v>
      </c>
      <c r="C42" s="5" t="str">
        <f>CONCATENATE(A42, ": ", ROUND(GENAI3,1))</f>
        <v>Legal: 2.4</v>
      </c>
      <c r="D42" s="5"/>
      <c r="E42" s="5"/>
      <c r="F42" s="8"/>
    </row>
    <row r="43" spans="1:6">
      <c r="A43" s="5" t="s">
        <v>6</v>
      </c>
      <c r="B43" s="5">
        <f>SUMIF($B$15:$B$20,A43, $F$15:$F$20)/SUMIF($B$15:$B$20,A43, $E$15:$E$20)</f>
        <v>1</v>
      </c>
      <c r="C43" s="5" t="str">
        <f>CONCATENATE(A43, ": ", ROUND(GENAI5,1))</f>
        <v>Process: 1</v>
      </c>
      <c r="D43" s="5"/>
      <c r="E43" s="5"/>
    </row>
    <row r="44" spans="1:6">
      <c r="A44" s="5"/>
      <c r="B44" s="5"/>
      <c r="C44" s="5"/>
      <c r="D44" s="5"/>
      <c r="E44" s="5"/>
      <c r="F44" s="8"/>
    </row>
    <row r="45" spans="1:6">
      <c r="A45" s="5" t="s">
        <v>3</v>
      </c>
      <c r="B45" s="5"/>
      <c r="C45" s="5"/>
      <c r="D45" s="5"/>
      <c r="E45" s="5"/>
      <c r="F45" s="8"/>
    </row>
    <row r="46" spans="1:6">
      <c r="A46" s="5" t="s">
        <v>9</v>
      </c>
      <c r="B46" s="5">
        <f>SUMIF($B$23:$B$30,A46, $F$23:$F$30)/SUMIF($B$23:$B$30,A46, $E$23:$E$30)</f>
        <v>4</v>
      </c>
      <c r="C46" s="5" t="str">
        <f>CONCATENATE(A46, ": ", ROUND(SPEC1,1))</f>
        <v>Agency: 4</v>
      </c>
      <c r="D46" s="5"/>
      <c r="E46" s="5"/>
      <c r="F46" s="8"/>
    </row>
    <row r="47" spans="1:6">
      <c r="A47" s="5" t="s">
        <v>13</v>
      </c>
      <c r="B47" s="5">
        <f>SUMIF($B$23:$B$30,A47, $F$23:$F$30)/SUMIF($B$23:$B$30,A47, $E$23:$E$30)</f>
        <v>1</v>
      </c>
      <c r="C47" s="5" t="str">
        <f>CONCATENATE(A47, ": ", ROUND(SPEC2,1))</f>
        <v>Financial: 1</v>
      </c>
      <c r="D47" s="5"/>
      <c r="E47" s="5"/>
      <c r="F47" s="8"/>
    </row>
    <row r="48" spans="1:6">
      <c r="A48" s="5" t="s">
        <v>11</v>
      </c>
      <c r="B48" s="5">
        <f>SUMIF($B$23:$B$30,A48, $F$23:$F$30)/SUMIF($B$23:$B$30,A48, $E$23:$E$30)</f>
        <v>5</v>
      </c>
      <c r="C48" s="5" t="str">
        <f>CONCATENATE(A48, ": ", ROUND(SPEC3,1))</f>
        <v>Knowledge: 5</v>
      </c>
      <c r="D48" s="5"/>
      <c r="E48" s="5"/>
      <c r="F48" s="8"/>
    </row>
    <row r="49" spans="1:6">
      <c r="A49" s="5" t="s">
        <v>12</v>
      </c>
      <c r="B49" s="5">
        <f>SUMIF($B$23:$B$30,A49, $F$23:$F$30)/SUMIF($B$23:$B$30,A49, $E$23:$E$30)</f>
        <v>2.5454545454545454</v>
      </c>
      <c r="C49" s="5" t="str">
        <f>CONCATENATE(A49, ": ", ROUND(SPEC4,1))</f>
        <v>People: 2.5</v>
      </c>
      <c r="D49" s="5"/>
      <c r="E49" s="5"/>
      <c r="F49" s="8"/>
    </row>
    <row r="50" spans="1:6">
      <c r="A50" s="5" t="s">
        <v>6</v>
      </c>
      <c r="B50" s="5">
        <f>SUMIF($B$23:$B$30,A50, $F$23:$F$30)/SUMIF($B$23:$B$30,A50, $E$23:$E$30)</f>
        <v>2.4</v>
      </c>
      <c r="C50" s="5" t="str">
        <f>CONCATENATE(A50, ": ", ROUND(SPEC5,1))</f>
        <v>Process: 2.4</v>
      </c>
      <c r="D50" s="5"/>
      <c r="E50" s="5"/>
      <c r="F50" s="8"/>
    </row>
    <row r="51" spans="1:6">
      <c r="A51" s="5"/>
      <c r="B51" s="5"/>
      <c r="C51" s="5"/>
      <c r="D51" s="5"/>
      <c r="E51" s="5"/>
      <c r="F51" s="8"/>
    </row>
    <row r="52" spans="1:6">
      <c r="A52" s="5"/>
      <c r="B52" s="5"/>
      <c r="C52" s="5"/>
      <c r="D52" s="5"/>
      <c r="E52" s="5"/>
      <c r="F52" s="8"/>
    </row>
    <row r="53" spans="1:6">
      <c r="A53" s="5" t="s">
        <v>16</v>
      </c>
      <c r="B53" s="5">
        <f>AVERAGE(B34:B37, B40:B43)</f>
        <v>2.9</v>
      </c>
      <c r="C53" s="5" t="str">
        <f>CONCATENATE(A53, ": ", ROUND(B53,2))</f>
        <v>Generalized GenAI Score: 2.9</v>
      </c>
      <c r="D53" s="5"/>
      <c r="E53" s="5"/>
      <c r="F53" s="8"/>
    </row>
    <row r="54" spans="1:6">
      <c r="A54" s="5" t="s">
        <v>17</v>
      </c>
      <c r="B54" s="5">
        <f>AVERAGE(B34:B37,B46:B50)</f>
        <v>3.1050505050505048</v>
      </c>
      <c r="C54" s="5" t="str">
        <f>CONCATENATE(A54, ": ", ROUND(B54,2))</f>
        <v>Specialized GenAI Score: 3.11</v>
      </c>
      <c r="D54" s="5"/>
      <c r="E54" s="5"/>
      <c r="F54" s="8"/>
    </row>
    <row r="55" spans="1:6">
      <c r="A55" s="5"/>
      <c r="B55" s="5"/>
      <c r="C55" s="5"/>
      <c r="D55" s="5"/>
      <c r="E55" s="5"/>
      <c r="F55" s="8"/>
    </row>
    <row r="56" spans="1:6">
      <c r="A56" s="5"/>
      <c r="B56" s="5"/>
      <c r="C56" s="5"/>
      <c r="D56" s="5"/>
      <c r="E56" s="5"/>
      <c r="F56" s="8"/>
    </row>
    <row r="57" spans="1:6">
      <c r="A57" s="5"/>
      <c r="B57" s="5"/>
      <c r="C57" s="5"/>
      <c r="D57" s="5"/>
      <c r="E57" s="5"/>
      <c r="F57" s="8"/>
    </row>
    <row r="58" spans="1:6">
      <c r="A58" s="5" t="s">
        <v>24</v>
      </c>
      <c r="B58" s="5"/>
      <c r="C58" s="5"/>
      <c r="D58" s="5"/>
      <c r="E58" s="7"/>
      <c r="F58" s="8"/>
    </row>
    <row r="59" spans="1:6">
      <c r="A59" s="5" t="str">
        <f>INPUTS!A3</f>
        <v>Is the non-profit comfortable with probabilistic decision making and associated technologies that might hallucinate?</v>
      </c>
      <c r="B59" s="6" t="str">
        <f>INPUTS!B3</f>
        <v>Yes</v>
      </c>
      <c r="C59" s="4" t="s">
        <v>26</v>
      </c>
      <c r="D59" s="4" t="s">
        <v>23</v>
      </c>
      <c r="E59" s="7" t="str">
        <f>IF(SHOWSTOP1=D59, "Ready", "Not Ready")</f>
        <v>Ready</v>
      </c>
      <c r="F59" s="8"/>
    </row>
    <row r="60" spans="1:6">
      <c r="A60" s="5" t="str">
        <f>INPUTS!A4</f>
        <v>Is the non-profit comfortable with the ethical considerations associated with GenAI technologies?</v>
      </c>
      <c r="B60" s="6" t="str">
        <f>INPUTS!B4</f>
        <v>No</v>
      </c>
      <c r="C60" s="5" t="s">
        <v>51</v>
      </c>
      <c r="D60" s="5" t="s">
        <v>23</v>
      </c>
      <c r="E60" s="7" t="str">
        <f>IF(SHOWSTOP2=D60, "Ready", "Not Ready")</f>
        <v>Not Ready</v>
      </c>
      <c r="F60" s="8"/>
    </row>
    <row r="61" spans="1:6">
      <c r="A61" s="5" t="str">
        <f>INPUTS!A5</f>
        <v>Is the non-profit comfortable with the regulatory uncertainties surrounding GenAI technologies?</v>
      </c>
      <c r="B61" s="6" t="str">
        <f>INPUTS!B5</f>
        <v>Yes</v>
      </c>
      <c r="C61" s="5" t="s">
        <v>25</v>
      </c>
      <c r="D61" s="5" t="s">
        <v>23</v>
      </c>
      <c r="E61" s="7" t="str">
        <f>IF(SHOWSTOP3=D61, "Ready", "Not Ready")</f>
        <v>Ready</v>
      </c>
      <c r="F61" s="8"/>
    </row>
    <row r="62" spans="1:6">
      <c r="A62" s="5" t="str">
        <f>INPUTS!A6</f>
        <v>Is a key non-profit stakeholder such as a major donor or grant funding organization pressuring the non-profit to use GenAI?</v>
      </c>
      <c r="B62" s="6" t="str">
        <f>INPUTS!B6</f>
        <v>No</v>
      </c>
      <c r="C62" s="5" t="s">
        <v>60</v>
      </c>
      <c r="D62" s="5" t="s">
        <v>23</v>
      </c>
      <c r="E62" s="7" t="str">
        <f>IF(SHOWSTOP4=D62, "Ready", "Not Ready")</f>
        <v>Not Ready</v>
      </c>
      <c r="F62" s="8"/>
    </row>
    <row r="63" spans="1:6">
      <c r="A63" s="5" t="str">
        <f>INPUTS!A7</f>
        <v>Is a key non-profit stakeholder such as a major donor or grant funding organization pressuring the non-profit to not use GenAI?</v>
      </c>
      <c r="B63" s="6" t="str">
        <f>INPUTS!B7</f>
        <v>Yes</v>
      </c>
      <c r="C63" s="5" t="s">
        <v>59</v>
      </c>
      <c r="D63" s="5" t="s">
        <v>20</v>
      </c>
      <c r="E63" s="7" t="str">
        <f>IF(SHOWSTOP5=D63, "Ready", "Not Ready")</f>
        <v>Not Ready</v>
      </c>
      <c r="F63" s="8"/>
    </row>
    <row r="64" spans="1:6">
      <c r="A64" s="5" t="str">
        <f>INPUTS!A8</f>
        <v>Is the non-profit comfortable with the potential reputational harm for using GenAI such that it would hinder their ability to achieve their social or societal mission?</v>
      </c>
      <c r="B64" s="6" t="str">
        <f>INPUTS!B8</f>
        <v>No</v>
      </c>
      <c r="C64" s="4" t="s">
        <v>28</v>
      </c>
      <c r="D64" s="4" t="s">
        <v>23</v>
      </c>
      <c r="E64" s="7" t="str">
        <f>IF(SHOWSTOP6=D64, "Ready", "Not Ready")</f>
        <v>Not Ready</v>
      </c>
      <c r="F64" s="8"/>
    </row>
    <row r="65" spans="1:6">
      <c r="A65" s="5"/>
      <c r="B65" s="5"/>
      <c r="C65" s="5"/>
      <c r="D65" s="5"/>
      <c r="E65" s="7"/>
      <c r="F65" s="8"/>
    </row>
    <row r="66" spans="1:6">
      <c r="A66" s="5"/>
      <c r="B66" s="5"/>
      <c r="C66" s="5" t="str">
        <f>CONCATENATE(IF(SHOWSTOP1=D59,CONCATENATE(C59,": ","Ready"),CONCATENATE(C59,": ","Not Ready")))</f>
        <v>Probability-Based Decision Making: Ready</v>
      </c>
      <c r="D66" s="5"/>
      <c r="E66" s="7"/>
      <c r="F66" s="8"/>
    </row>
    <row r="67" spans="1:6">
      <c r="A67" s="5"/>
      <c r="B67" s="5"/>
      <c r="C67" s="5" t="str">
        <f>CONCATENATE(IF(SHOWSTOP2=D60,CONCATENATE(C60,": ","Ready"),CONCATENATE(C60,": ","Not Ready")))</f>
        <v>Ethical Considerations: Not Ready</v>
      </c>
      <c r="D67" s="5"/>
      <c r="E67" s="7"/>
      <c r="F67" s="8"/>
    </row>
    <row r="68" spans="1:6">
      <c r="A68" s="5"/>
      <c r="B68" s="6"/>
      <c r="C68" s="5" t="str">
        <f>CONCATENATE(IF(SHOWSTOP3=D61,CONCATENATE(C61,": ","Ready"),CONCATENATE(C61,": ","Not Ready")))</f>
        <v>Regulatory: Ready</v>
      </c>
      <c r="E68" s="7"/>
      <c r="F68" s="8"/>
    </row>
    <row r="69" spans="1:6">
      <c r="A69" s="5"/>
      <c r="B69" s="5"/>
      <c r="C69" s="5" t="str">
        <f>CONCATENATE(IF(SHOWSTOP4=D62,CONCATENATE(C62,": ","Ready"),CONCATENATE(C62,": ","Not Ready")))</f>
        <v>Adopting Stakeholder Pressure: Not Ready</v>
      </c>
      <c r="D69" s="5"/>
      <c r="E69" s="7"/>
      <c r="F69" s="8"/>
    </row>
    <row r="70" spans="1:6">
      <c r="A70" s="5"/>
      <c r="B70" s="5"/>
      <c r="C70" s="5" t="str">
        <f>CONCATENATE(IF(SHOWSTOP5=D63,CONCATENATE(C63,": ","Ready"),CONCATENATE(C63,": ","Not Ready")))</f>
        <v>Not Adopting Stakeholder Pressure: Not Ready</v>
      </c>
      <c r="D70" s="5"/>
      <c r="E70" s="7"/>
      <c r="F70" s="8"/>
    </row>
    <row r="71" spans="1:6">
      <c r="A71" s="5"/>
      <c r="B71" s="5"/>
      <c r="C71" s="5" t="str">
        <f>CONCATENATE(IF(SHOWSTOP6=D64,CONCATENATE(C64,": ","Ready"),CONCATENATE(C64,": ","Not Ready")))</f>
        <v>Reputational Risk: Not Ready</v>
      </c>
      <c r="D71" s="5"/>
      <c r="E71" s="7"/>
      <c r="F71" s="8"/>
    </row>
    <row r="72" spans="1:6">
      <c r="A72" s="5"/>
      <c r="B72" s="5"/>
      <c r="C72" s="5"/>
      <c r="D72" s="5"/>
      <c r="E72" s="7"/>
      <c r="F72" s="8"/>
    </row>
    <row r="73" spans="1:6">
      <c r="A73" s="5"/>
      <c r="B73" s="5"/>
      <c r="C73" s="5" t="str">
        <f>CONCATENATE(C66, ", ", C67, ", ", C68, ", ", C69, ", ", C70, ", &amp; ", C71)</f>
        <v>Probability-Based Decision Making: Ready, Ethical Considerations: Not Ready, Regulatory: Ready, Adopting Stakeholder Pressure: Not Ready, Not Adopting Stakeholder Pressure: Not Ready, &amp; Reputational Risk: Not Ready</v>
      </c>
      <c r="D73" s="5"/>
      <c r="E73" s="7"/>
      <c r="F73" s="8"/>
    </row>
    <row r="74" spans="1:6">
      <c r="A74" s="13"/>
      <c r="B74" s="6"/>
      <c r="E74" s="7"/>
      <c r="F74" s="8"/>
    </row>
    <row r="75" spans="1:6">
      <c r="A75" s="5"/>
      <c r="B75" s="5"/>
      <c r="C75" s="5"/>
      <c r="D75" s="5"/>
      <c r="E75" s="7"/>
      <c r="F75" s="8"/>
    </row>
    <row r="76" spans="1:6">
      <c r="A76" s="5"/>
      <c r="B76" s="5"/>
      <c r="C76" s="5"/>
      <c r="D76" s="5"/>
      <c r="E76" s="7"/>
      <c r="F76" s="8"/>
    </row>
    <row r="77" spans="1:6">
      <c r="A77" s="5"/>
      <c r="B77" s="5"/>
      <c r="C77" s="5"/>
      <c r="D77" s="5"/>
      <c r="E77" s="7"/>
      <c r="F77" s="8"/>
    </row>
    <row r="78" spans="1:6">
      <c r="A78" s="13"/>
      <c r="B78" s="6"/>
      <c r="E78" s="7"/>
      <c r="F78" s="8"/>
    </row>
    <row r="79" spans="1:6">
      <c r="A79" s="5"/>
      <c r="B79" s="5"/>
      <c r="C79" s="5"/>
      <c r="D79" s="5"/>
      <c r="E79" s="7"/>
      <c r="F79" s="8"/>
    </row>
    <row r="80" spans="1:6">
      <c r="A80" s="5"/>
      <c r="B80" s="5"/>
      <c r="C80" s="5"/>
      <c r="D80" s="5"/>
      <c r="E80" s="7"/>
      <c r="F80" s="8"/>
    </row>
    <row r="81" spans="1:6">
      <c r="A81" s="5"/>
      <c r="B81" s="5"/>
      <c r="C81" s="5"/>
      <c r="D81" s="5"/>
      <c r="E81" s="7"/>
      <c r="F81" s="8"/>
    </row>
    <row r="82" spans="1:6">
      <c r="A82" s="5"/>
      <c r="B82" s="5"/>
      <c r="C82" s="5"/>
      <c r="D82" s="5"/>
      <c r="E82" s="7"/>
      <c r="F82" s="8"/>
    </row>
    <row r="83" spans="1:6">
      <c r="A83" s="5"/>
      <c r="B83" s="5"/>
      <c r="C83" s="5"/>
      <c r="D83" s="5"/>
      <c r="E83" s="7"/>
      <c r="F83" s="8"/>
    </row>
    <row r="84" spans="1:6">
      <c r="A84" s="13"/>
      <c r="B84" s="6"/>
      <c r="E84" s="7"/>
      <c r="F84" s="8"/>
    </row>
    <row r="85" spans="1:6">
      <c r="A85" s="5"/>
      <c r="B85" s="5"/>
      <c r="C85" s="5"/>
      <c r="D85" s="5"/>
      <c r="E85" s="7"/>
      <c r="F85" s="8"/>
    </row>
    <row r="86" spans="1:6">
      <c r="A86" s="5"/>
      <c r="B86" s="5"/>
      <c r="C86" s="5"/>
      <c r="D86" s="5"/>
      <c r="E86" s="7"/>
      <c r="F86" s="8"/>
    </row>
    <row r="87" spans="1:6">
      <c r="A87" s="5"/>
      <c r="B87" s="5"/>
      <c r="C87" s="5"/>
      <c r="D87" s="5"/>
      <c r="E87" s="7"/>
      <c r="F87" s="8"/>
    </row>
    <row r="88" spans="1:6">
      <c r="A88" s="13"/>
      <c r="B88" s="6"/>
      <c r="E88" s="7"/>
      <c r="F88" s="8"/>
    </row>
    <row r="102" spans="2:2">
      <c r="B102" s="6"/>
    </row>
    <row r="116" spans="2:3">
      <c r="B116" s="6"/>
    </row>
    <row r="119" spans="2:3">
      <c r="C119" s="14"/>
    </row>
  </sheetData>
  <sortState xmlns:xlrd2="http://schemas.microsoft.com/office/spreadsheetml/2017/richdata2" ref="A46:A50">
    <sortCondition ref="A46:A50"/>
  </sortState>
  <dataValidations count="1">
    <dataValidation allowBlank="1" showInputMessage="1" sqref="B116 B6 B59:B64 B102 B68 B74 B78 B84 B88" xr:uid="{21683C9F-D203-446A-95C5-1DA6C2873F57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INSTRUCTIONS</vt:lpstr>
      <vt:lpstr>INPUTS</vt:lpstr>
      <vt:lpstr>DASHBOARD</vt:lpstr>
      <vt:lpstr>BOTH1</vt:lpstr>
      <vt:lpstr>BOTH3</vt:lpstr>
      <vt:lpstr>BOTH4</vt:lpstr>
      <vt:lpstr>BOTH5</vt:lpstr>
      <vt:lpstr>DISP1</vt:lpstr>
      <vt:lpstr>DISP10</vt:lpstr>
      <vt:lpstr>DISP11</vt:lpstr>
      <vt:lpstr>DISP12</vt:lpstr>
      <vt:lpstr>DISP13</vt:lpstr>
      <vt:lpstr>DISP14</vt:lpstr>
      <vt:lpstr>DISP15</vt:lpstr>
      <vt:lpstr>DISP3</vt:lpstr>
      <vt:lpstr>DISP4</vt:lpstr>
      <vt:lpstr>DISP5</vt:lpstr>
      <vt:lpstr>DISP6</vt:lpstr>
      <vt:lpstr>DISP7</vt:lpstr>
      <vt:lpstr>DISP8</vt:lpstr>
      <vt:lpstr>GENAI1</vt:lpstr>
      <vt:lpstr>GENAI2</vt:lpstr>
      <vt:lpstr>GENAI3</vt:lpstr>
      <vt:lpstr>GENAI5</vt:lpstr>
      <vt:lpstr>GENSCORE</vt:lpstr>
      <vt:lpstr>SHOWSTOP1</vt:lpstr>
      <vt:lpstr>SHOWSTOP2</vt:lpstr>
      <vt:lpstr>SHOWSTOP3</vt:lpstr>
      <vt:lpstr>SHOWSTOP4</vt:lpstr>
      <vt:lpstr>SHOWSTOP5</vt:lpstr>
      <vt:lpstr>SHOWSTOP6</vt:lpstr>
      <vt:lpstr>SPEC1</vt:lpstr>
      <vt:lpstr>SPEC2</vt:lpstr>
      <vt:lpstr>SPEC3</vt:lpstr>
      <vt:lpstr>SPEC4</vt:lpstr>
      <vt:lpstr>SPEC5</vt:lpstr>
      <vt:lpstr>SPECSCORE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Mattson, Tom</dc:creator>
  <cp:lastModifiedBy>Mattson, Tom</cp:lastModifiedBy>
  <dcterms:created xsi:type="dcterms:W3CDTF">2024-06-21T15:04:15Z</dcterms:created>
  <dcterms:modified xsi:type="dcterms:W3CDTF">2025-06-18T19:33:59Z</dcterms:modified>
</cp:coreProperties>
</file>