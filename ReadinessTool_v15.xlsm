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tmattson\Documents\Mattson\GenerativeAI\PaperOutput\May2025Revision\October2025Revision\"/>
    </mc:Choice>
  </mc:AlternateContent>
  <xr:revisionPtr revIDLastSave="0" documentId="13_ncr:1_{F7619C6D-C485-4C3B-9BDF-8E3308195C70}" xr6:coauthVersionLast="47" xr6:coauthVersionMax="47" xr10:uidLastSave="{00000000-0000-0000-0000-000000000000}"/>
  <bookViews>
    <workbookView xWindow="-110" yWindow="-110" windowWidth="19420" windowHeight="11500" tabRatio="754" activeTab="1" xr2:uid="{2DEF6D66-D107-469C-A0BB-3089CD758861}"/>
  </bookViews>
  <sheets>
    <sheet name="INSTRUCTIONS" sheetId="15" r:id="rId1"/>
    <sheet name="INPUTS" sheetId="12" r:id="rId2"/>
    <sheet name="DASHBOARD" sheetId="7" r:id="rId3"/>
    <sheet name="Hide" sheetId="3" state="veryHidden" r:id="rId4"/>
  </sheets>
  <definedNames>
    <definedName name="CIQWBGuid" hidden="1">"Copy of 745743_org_read_assessment.xlsm"</definedName>
    <definedName name="IQ_DNTM" hidden="1">700000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MTD" hidden="1">800000</definedName>
    <definedName name="IQ_NAMES_REVISION_DATE_" hidden="1">44070.2346527778</definedName>
    <definedName name="IQ_QTD" hidden="1">750000</definedName>
    <definedName name="IQ_TODAY" hidden="1">0</definedName>
    <definedName name="IQ_YTDMONTH" hidden="1">130000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4" i="3" l="1"/>
  <c r="D44" i="3"/>
  <c r="E44" i="3" s="1"/>
  <c r="C45" i="3"/>
  <c r="D45" i="3"/>
  <c r="E45" i="3" s="1"/>
  <c r="C46" i="3"/>
  <c r="D46" i="3"/>
  <c r="E46" i="3" s="1"/>
  <c r="C47" i="3"/>
  <c r="D47" i="3"/>
  <c r="E47" i="3" s="1"/>
  <c r="C48" i="3"/>
  <c r="D48" i="3"/>
  <c r="E48" i="3" s="1"/>
  <c r="C49" i="3"/>
  <c r="D49" i="3"/>
  <c r="E49" i="3" s="1"/>
  <c r="C50" i="3"/>
  <c r="D50" i="3"/>
  <c r="E50" i="3" s="1"/>
  <c r="D43" i="3"/>
  <c r="E43" i="3" s="1"/>
  <c r="C43" i="3"/>
  <c r="B44" i="3"/>
  <c r="B45" i="3"/>
  <c r="B46" i="3"/>
  <c r="B47" i="3"/>
  <c r="B48" i="3"/>
  <c r="B49" i="3"/>
  <c r="B50" i="3"/>
  <c r="B43" i="3"/>
  <c r="A44" i="3"/>
  <c r="A45" i="3"/>
  <c r="A46" i="3"/>
  <c r="A47" i="3"/>
  <c r="A48" i="3"/>
  <c r="A49" i="3"/>
  <c r="A50" i="3"/>
  <c r="B34" i="3"/>
  <c r="C34" i="3"/>
  <c r="D34" i="3"/>
  <c r="E34" i="3" s="1"/>
  <c r="B35" i="3"/>
  <c r="C35" i="3"/>
  <c r="D35" i="3"/>
  <c r="E35" i="3" s="1"/>
  <c r="B36" i="3"/>
  <c r="C36" i="3"/>
  <c r="D36" i="3"/>
  <c r="E36" i="3" s="1"/>
  <c r="B37" i="3"/>
  <c r="C37" i="3"/>
  <c r="D37" i="3"/>
  <c r="E37" i="3" s="1"/>
  <c r="B38" i="3"/>
  <c r="C38" i="3"/>
  <c r="D38" i="3"/>
  <c r="E38" i="3" s="1"/>
  <c r="F38" i="3" s="1"/>
  <c r="B39" i="3"/>
  <c r="C39" i="3"/>
  <c r="D39" i="3"/>
  <c r="E39" i="3"/>
  <c r="B40" i="3"/>
  <c r="C40" i="3"/>
  <c r="D40" i="3"/>
  <c r="E40" i="3" s="1"/>
  <c r="D33" i="3"/>
  <c r="E33" i="3" s="1"/>
  <c r="A34" i="3"/>
  <c r="A35" i="3"/>
  <c r="A36" i="3"/>
  <c r="A37" i="3"/>
  <c r="A38" i="3"/>
  <c r="A39" i="3"/>
  <c r="A40" i="3"/>
  <c r="A42" i="3"/>
  <c r="A43" i="3"/>
  <c r="B22" i="3"/>
  <c r="C22" i="3"/>
  <c r="D22" i="3"/>
  <c r="E22" i="3" s="1"/>
  <c r="B23" i="3"/>
  <c r="C23" i="3"/>
  <c r="D23" i="3"/>
  <c r="E23" i="3" s="1"/>
  <c r="B24" i="3"/>
  <c r="C24" i="3"/>
  <c r="D24" i="3"/>
  <c r="E24" i="3" s="1"/>
  <c r="B25" i="3"/>
  <c r="C25" i="3"/>
  <c r="D25" i="3"/>
  <c r="E25" i="3" s="1"/>
  <c r="B26" i="3"/>
  <c r="C26" i="3"/>
  <c r="D26" i="3"/>
  <c r="E26" i="3" s="1"/>
  <c r="B27" i="3"/>
  <c r="C27" i="3"/>
  <c r="D27" i="3"/>
  <c r="E27" i="3" s="1"/>
  <c r="B28" i="3"/>
  <c r="C28" i="3"/>
  <c r="D28" i="3"/>
  <c r="E28" i="3" s="1"/>
  <c r="B29" i="3"/>
  <c r="C29" i="3"/>
  <c r="D29" i="3"/>
  <c r="E29" i="3" s="1"/>
  <c r="B30" i="3"/>
  <c r="C30" i="3"/>
  <c r="D30" i="3"/>
  <c r="E30" i="3" s="1"/>
  <c r="D21" i="3"/>
  <c r="E21" i="3" s="1"/>
  <c r="A28" i="3"/>
  <c r="A29" i="3"/>
  <c r="A30" i="3"/>
  <c r="A27" i="3"/>
  <c r="A21" i="3"/>
  <c r="A22" i="3"/>
  <c r="A23" i="3"/>
  <c r="A24" i="3"/>
  <c r="A25" i="3"/>
  <c r="A26" i="3"/>
  <c r="D10" i="3"/>
  <c r="E10" i="3" s="1"/>
  <c r="D11" i="3"/>
  <c r="E11" i="3" s="1"/>
  <c r="D12" i="3"/>
  <c r="E12" i="3" s="1"/>
  <c r="D13" i="3"/>
  <c r="E13" i="3" s="1"/>
  <c r="D14" i="3"/>
  <c r="E14" i="3" s="1"/>
  <c r="D15" i="3"/>
  <c r="E15" i="3" s="1"/>
  <c r="D16" i="3"/>
  <c r="E16" i="3" s="1"/>
  <c r="D17" i="3"/>
  <c r="E17" i="3" s="1"/>
  <c r="D18" i="3"/>
  <c r="E18" i="3" s="1"/>
  <c r="D9" i="3"/>
  <c r="E9" i="3" s="1"/>
  <c r="C10" i="3"/>
  <c r="C11" i="3"/>
  <c r="C12" i="3"/>
  <c r="C13" i="3"/>
  <c r="C14" i="3"/>
  <c r="C15" i="3"/>
  <c r="C16" i="3"/>
  <c r="C17" i="3"/>
  <c r="C18" i="3"/>
  <c r="B10" i="3"/>
  <c r="B11" i="3"/>
  <c r="B12" i="3"/>
  <c r="B13" i="3"/>
  <c r="B14" i="3"/>
  <c r="B15" i="3"/>
  <c r="B16" i="3"/>
  <c r="B17" i="3"/>
  <c r="B18" i="3"/>
  <c r="A15" i="3"/>
  <c r="A16" i="3"/>
  <c r="A17" i="3"/>
  <c r="A18" i="3"/>
  <c r="A10" i="3"/>
  <c r="A11" i="3"/>
  <c r="A12" i="3"/>
  <c r="A13" i="3"/>
  <c r="A14" i="3"/>
  <c r="B33" i="3"/>
  <c r="C33" i="3"/>
  <c r="A33" i="3"/>
  <c r="A32" i="3"/>
  <c r="C21" i="3"/>
  <c r="B21" i="3"/>
  <c r="A20" i="3"/>
  <c r="B72" i="3" l="1"/>
  <c r="C72" i="3" s="1"/>
  <c r="F25" i="3"/>
  <c r="F49" i="3"/>
  <c r="B71" i="3"/>
  <c r="F46" i="3"/>
  <c r="F48" i="3"/>
  <c r="F45" i="3"/>
  <c r="F39" i="3"/>
  <c r="F30" i="3"/>
  <c r="F44" i="3"/>
  <c r="F50" i="3"/>
  <c r="F47" i="3"/>
  <c r="F36" i="3"/>
  <c r="F34" i="3"/>
  <c r="F26" i="3"/>
  <c r="B60" i="3" s="1"/>
  <c r="C60" i="3" s="1"/>
  <c r="F22" i="3"/>
  <c r="F35" i="3"/>
  <c r="F40" i="3"/>
  <c r="B67" i="3" s="1"/>
  <c r="C67" i="3" s="1"/>
  <c r="F43" i="3"/>
  <c r="B73" i="3" s="1"/>
  <c r="C73" i="3" s="1"/>
  <c r="F37" i="3"/>
  <c r="B66" i="3" s="1"/>
  <c r="C66" i="3" s="1"/>
  <c r="F29" i="3"/>
  <c r="F27" i="3"/>
  <c r="F28" i="3"/>
  <c r="B59" i="3" s="1"/>
  <c r="F23" i="3"/>
  <c r="F24" i="3"/>
  <c r="F18" i="3"/>
  <c r="F17" i="3"/>
  <c r="F11" i="3"/>
  <c r="F10" i="3"/>
  <c r="F13" i="3"/>
  <c r="F15" i="3"/>
  <c r="F12" i="3"/>
  <c r="F16" i="3"/>
  <c r="F14" i="3"/>
  <c r="A9" i="3"/>
  <c r="B9" i="3"/>
  <c r="C9" i="3"/>
  <c r="A8" i="3"/>
  <c r="B74" i="3" l="1"/>
  <c r="C74" i="3" s="1"/>
  <c r="C59" i="3"/>
  <c r="C71" i="3"/>
  <c r="B68" i="3"/>
  <c r="C68" i="3" s="1"/>
  <c r="B62" i="3"/>
  <c r="C62" i="3" s="1"/>
  <c r="B53" i="3"/>
  <c r="B54" i="3"/>
  <c r="C54" i="3" s="1"/>
  <c r="B55" i="3"/>
  <c r="C55" i="3" s="1"/>
  <c r="F9" i="3"/>
  <c r="F33" i="3"/>
  <c r="F21" i="3"/>
  <c r="B61" i="3" s="1"/>
  <c r="C61" i="3" s="1"/>
  <c r="B80" i="3" l="1"/>
  <c r="C80" i="3" s="1"/>
  <c r="C53" i="3"/>
  <c r="B78" i="3"/>
  <c r="B56" i="3"/>
  <c r="C56" i="3" s="1"/>
  <c r="B65" i="3"/>
  <c r="C65" i="3" l="1"/>
  <c r="B79" i="3"/>
  <c r="C79" i="3" s="1"/>
  <c r="B77" i="3"/>
  <c r="C78" i="3"/>
  <c r="B82" i="3" l="1"/>
  <c r="C82" i="3" s="1"/>
  <c r="C77" i="3"/>
</calcChain>
</file>

<file path=xl/sharedStrings.xml><?xml version="1.0" encoding="utf-8"?>
<sst xmlns="http://schemas.openxmlformats.org/spreadsheetml/2006/main" count="206" uniqueCount="86">
  <si>
    <t>Critical</t>
  </si>
  <si>
    <t>Important</t>
  </si>
  <si>
    <t>Process</t>
  </si>
  <si>
    <t>People</t>
  </si>
  <si>
    <t>Financial</t>
  </si>
  <si>
    <t>Manageable</t>
  </si>
  <si>
    <t>Weight</t>
  </si>
  <si>
    <r>
      <rPr>
        <b/>
        <sz val="11"/>
        <color theme="1"/>
        <rFont val="Aptos Narrow"/>
        <family val="2"/>
        <scheme val="minor"/>
      </rPr>
      <t xml:space="preserve">Readiness </t>
    </r>
    <r>
      <rPr>
        <sz val="11"/>
        <color theme="1"/>
        <rFont val="Aptos Narrow"/>
        <family val="2"/>
        <scheme val="minor"/>
      </rPr>
      <t xml:space="preserve">
1-Not Ready, 
2-Loosely Defined, 
3-Defined &amp; Unmanaged, 
4-Defined &amp; Managed, 
5-Ready</t>
    </r>
  </si>
  <si>
    <t>Non-Profit GenAI Readiness (NPGAR)</t>
  </si>
  <si>
    <t>Degree that the non-profit is committed to change its services and work processes using GenAI applications</t>
  </si>
  <si>
    <t>Degree that the non-profit understands and has the capabilities to manage internal and external data issues (e.g., compensating data sources, quality, access, security, privacy, &amp; cross-jurisdictional)</t>
  </si>
  <si>
    <t>Tool Overview:</t>
  </si>
  <si>
    <t>Excel File Instructions:</t>
  </si>
  <si>
    <t>Technology Context:</t>
  </si>
  <si>
    <t>Our tool is designed specifically for GenAI technologies and applications.</t>
  </si>
  <si>
    <t>Non-Profit Context:</t>
  </si>
  <si>
    <t>Our tool is designed for non-profits that have a social or societal mission instead of a financial (profit) driven mission.</t>
  </si>
  <si>
    <t>Our tool is designed for non-government non-profits. Although many government agencies are non-profit in nature, they have different constraints and issues that are not explicitly included in our tool.</t>
  </si>
  <si>
    <t>Sector:</t>
  </si>
  <si>
    <t xml:space="preserve">We purposefully designed our tool to be non-profit mission agnostic. There are no items related to any specific social or societal cause. </t>
  </si>
  <si>
    <t>Mission:</t>
  </si>
  <si>
    <t>Non-profits have many different operating models (e.g., Beneficiary-Oriented Service Model, Member-based model, or Foundation model) that define how they create value, are funded, and sustain their operations. The use of our tool is not limited to any one specific non-profit operating model.</t>
  </si>
  <si>
    <t>Non-profits clearly range in organizational complexity, structure, and size. Our tool will be most helpful for non-profits that face the people, process, and technology issues associated with GenAI implementations. With that said, small non-profits may still benefit from discussing certain questions on our tool even if all of them are not applicable.</t>
  </si>
  <si>
    <t>Tool Users:</t>
  </si>
  <si>
    <t>The users of our tool are non-profit employees who are involved in the GenAI decision making process. These employees could (and probably should) be at multiple levels – staff, management, or executive – because staff at different levels have different knowledge and experiences with GenAI. Each non-profit using the tool must decide who is involved in their GenAI decision making process, which will determine if our tool is used by executives, managers, or staff.</t>
  </si>
  <si>
    <t>The ideal use will be during the pre-adoption phase where the non-profit is determining whether to adopt and/or determining their overall GenAI strategy.</t>
  </si>
  <si>
    <t>Software Lifecycle Phase of Usage:</t>
  </si>
  <si>
    <t>A non-profit’s readiness for GenAI may change over time. Therefore, we recommend that they use our tool to assess their readiness regularly (say quarterly or semi-annually) as their organizations and GenAI change.</t>
  </si>
  <si>
    <t>Frequency of Use:</t>
  </si>
  <si>
    <t>Non-Profit Organizational Constraints:</t>
  </si>
  <si>
    <t>Suggested Use Process:</t>
  </si>
  <si>
    <t>1) Enable all warning messages and macros when opening the workbook.
2) Answer the questions on the INPUTS worksheet. Only modify the cells in light gray.
3) Select the DASHBOARD worksheet to view the readiness results. Each time you click on the DASHBOARD worksheet, the dashboard gets refreshed.</t>
  </si>
  <si>
    <t>Our tool is designed to assess a non-profit's readiness for GenAI technologies and applications. This tool accounts for the uniqueness of both GenAI and non-profit organizations.</t>
  </si>
  <si>
    <t>Non-Profit Operating Models:</t>
  </si>
  <si>
    <t xml:space="preserve">Step 1: Decide who should be involved in the GenAI readiness assessment process. We recommend that this process include staff at all levels with different responsibilities (e.g., operational, tactical, and strategic).
Step 2: Have all individuals involved in the GenAI readiness assessment process answer the questions in this Excel file independently.
Step 3: Have each assessor send their results to a coordinator or the person in charge of the GenAI assessment process at the non-profit.
Step 4: The coordinator should then organize a meeting to debate and discuss the results from each assessor. </t>
  </si>
  <si>
    <t>Not Applicable</t>
  </si>
  <si>
    <r>
      <rPr>
        <b/>
        <sz val="11"/>
        <color theme="1"/>
        <rFont val="Aptos Narrow"/>
        <family val="2"/>
        <scheme val="minor"/>
      </rPr>
      <t>Importance</t>
    </r>
    <r>
      <rPr>
        <sz val="11"/>
        <color theme="1"/>
        <rFont val="Aptos Narrow"/>
        <family val="2"/>
        <scheme val="minor"/>
      </rPr>
      <t xml:space="preserve">
Not Applicable,
Manageable,
Important,
Critical</t>
    </r>
  </si>
  <si>
    <t>Degree that the use of GenAI aligns with the social or philanthropic mission of the non-profit</t>
  </si>
  <si>
    <t>Degree that the non-profit is willing and able to learn different GenAI solutions</t>
  </si>
  <si>
    <t>Degree that the non-profit can provide technical support for different GenAI solutions</t>
  </si>
  <si>
    <t>Degree that the non-profit's employees and managers trust underlying GenAI solutions</t>
  </si>
  <si>
    <r>
      <t xml:space="preserve">Category
</t>
    </r>
    <r>
      <rPr>
        <sz val="11"/>
        <color theme="1"/>
        <rFont val="Aptos Narrow"/>
        <family val="2"/>
        <scheme val="minor"/>
      </rPr>
      <t>Environment (external to the non-profit),
Financial (monetary or resource deployment),
People (internal staff or volunteers),
Process (internal work processes)</t>
    </r>
  </si>
  <si>
    <t>Environment</t>
  </si>
  <si>
    <t>Degree that the non-profit has a process to choose different GenAI solutions including building in-house</t>
  </si>
  <si>
    <t>Degree that the non-profit has the budget for GenAI solutions</t>
  </si>
  <si>
    <t>Degree that the non-profit is comfortable giving up agency in part or in full to a GenAI solution</t>
  </si>
  <si>
    <t>Degree that the non-profit's technical staff has the knowledge, skills, and abilities to develop and/or maintain GenAI solutions</t>
  </si>
  <si>
    <t>Degree that the non-profit is capable of complying with data storage regulations for different GenAI solutions</t>
  </si>
  <si>
    <t>Degree that the non-profit is comfortable with probabilistic decision making and inevitable hallucinations</t>
  </si>
  <si>
    <t>Degree that the non-profit has legal support to protect its data and intellectual property due to GenAI solutions</t>
  </si>
  <si>
    <t>Degree that the non-profit is prepared to stop using a GenAI solution if it is deemed to have used copyrighted, stolen, or unethically obtained data</t>
  </si>
  <si>
    <t>Degree that the non-profit has GenAI champions or executive sponsorship to encourage GenAI use</t>
  </si>
  <si>
    <t>Degree that the non-profit has a culture that is comfortable with uncertainty</t>
  </si>
  <si>
    <t>Degree that the non-profit has a risk management strategy should the use of GenAI hinder its social or philanthropic mission</t>
  </si>
  <si>
    <t>Degree that the non-profit has a culture that is comfortable with changing roles and responsibilities</t>
  </si>
  <si>
    <t xml:space="preserve">Degree that the non-profit understands how their external stakeholder's (e.g., donors or volunteers) perceive the use of GenAI solutions  </t>
  </si>
  <si>
    <t>Degree that the non-profit fears job losses or other structural changes due to the use of GenAI</t>
  </si>
  <si>
    <r>
      <rPr>
        <b/>
        <i/>
        <u/>
        <sz val="11"/>
        <color theme="1"/>
        <rFont val="Aptos Narrow"/>
        <family val="2"/>
        <scheme val="minor"/>
      </rPr>
      <t>Strategic</t>
    </r>
    <r>
      <rPr>
        <sz val="11"/>
        <color theme="1"/>
        <rFont val="Aptos Narrow"/>
        <family val="2"/>
        <scheme val="minor"/>
      </rPr>
      <t xml:space="preserve"> Dimensions of GenAI Readiness</t>
    </r>
  </si>
  <si>
    <r>
      <t xml:space="preserve">Cultural </t>
    </r>
    <r>
      <rPr>
        <sz val="11"/>
        <color theme="1"/>
        <rFont val="Aptos Narrow"/>
        <family val="2"/>
        <scheme val="minor"/>
      </rPr>
      <t>Dimensions of GenAI Readiness</t>
    </r>
  </si>
  <si>
    <r>
      <t xml:space="preserve">Technical </t>
    </r>
    <r>
      <rPr>
        <sz val="11"/>
        <color theme="1"/>
        <rFont val="Aptos Narrow"/>
        <family val="2"/>
        <scheme val="minor"/>
      </rPr>
      <t>Dimensions of GenAI Readiness</t>
    </r>
  </si>
  <si>
    <r>
      <t xml:space="preserve">Operational </t>
    </r>
    <r>
      <rPr>
        <sz val="11"/>
        <color theme="1"/>
        <rFont val="Aptos Narrow"/>
        <family val="2"/>
        <scheme val="minor"/>
      </rPr>
      <t>Dimensions of GenAI Readiness</t>
    </r>
  </si>
  <si>
    <t>Degree that the non-profit has a continuity of business plan should GenAI use need to be discontined</t>
  </si>
  <si>
    <t>Degree that the non-profit is comfortable implementing technologies that are in an ethical "gray" area</t>
  </si>
  <si>
    <t>Degree that the non-profit is prepared to dispel the overhead myth with GenAI investments</t>
  </si>
  <si>
    <t>Degree that the non-profit has a culture that is comfortable with the potential negative consequences of using GenAI solutions</t>
  </si>
  <si>
    <t>Degree that the non-profit has defined GenAI ethical &amp; appropriate use doctrines to protect its ability to meet its social and philanthropic mission</t>
  </si>
  <si>
    <t>Degree that the non-profit has the funds available for short-term and long-term GenAI solutions without hindering its investments directly in its social or philanthropic mission</t>
  </si>
  <si>
    <t>Degree that the non-profit understands the regulatory issues associated with implementing GenAI solutions</t>
  </si>
  <si>
    <t>Degree that the non-profit's GenAI technical partners associated with supporting GenAI solutions are stable and trustworthy</t>
  </si>
  <si>
    <t>Degree that the non-profit's leadership team understands transparency, fairness, and equitable issues of GenAI solutions</t>
  </si>
  <si>
    <t>Degree that the non-profit is willing to experiment and learn from failed GenAI projects</t>
  </si>
  <si>
    <t>Degree that the non-profit has the appropriate risk-taking culture to implement GenAI solutions with unknown social or financial</t>
  </si>
  <si>
    <t>Degree that the non-profit understands the privacy and security issues associated with using GenAI solutions</t>
  </si>
  <si>
    <t>Degree that the non-profit has the budget to continually train its technology staff to support different GenAI solutions</t>
  </si>
  <si>
    <t>Degree that the non-profit has identified GenAI specific use cases</t>
  </si>
  <si>
    <t>Degree that the non-profit understands the different GenAI solutions that are available to improve daily operations</t>
  </si>
  <si>
    <t>Degree that the non-profit can modify its daily operations should an external GenAI factor happen</t>
  </si>
  <si>
    <t>Strategic</t>
  </si>
  <si>
    <t>Cultural</t>
  </si>
  <si>
    <t>Technical</t>
  </si>
  <si>
    <t>Operational</t>
  </si>
  <si>
    <t>Overall GenAI Readiness Score</t>
  </si>
  <si>
    <t>Overall Strategic Readiness Score</t>
  </si>
  <si>
    <t>Overall Cultural Readiness Score</t>
  </si>
  <si>
    <t>Overall Technical Readiness Score</t>
  </si>
  <si>
    <t>Overall Operational Readiness Score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</si>
</sst>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0.000"/>
  </numFmts>
  <fonts count="9">
    <font>
      <sz val="11"/>
      <color theme="1"/>
      <name val="Aptos Narrow"/>
      <family val="2"/>
      <scheme val="minor"/>
    </font>
    <font>
      <b/>
      <sz val="11"/>
      <color theme="1"/>
      <name val="Aptos Narrow"/>
      <family val="2"/>
      <scheme val="minor"/>
    </font>
    <font>
      <b/>
      <sz val="16"/>
      <color theme="0"/>
      <name val="Arial"/>
      <family val="2"/>
    </font>
    <font>
      <sz val="11"/>
      <color theme="1"/>
      <name val="Arial"/>
      <family val="2"/>
    </font>
    <font>
      <sz val="8"/>
      <color rgb="FF000000"/>
      <name val="Segoe UI"/>
      <family val="2"/>
    </font>
    <font>
      <sz val="10"/>
      <color theme="1"/>
      <name val="Ariel"/>
    </font>
    <font>
      <sz val="10"/>
      <name val="Ariel"/>
    </font>
    <font>
      <b/>
      <sz val="16"/>
      <color theme="1"/>
      <name val="Arial"/>
      <family val="2"/>
    </font>
    <font>
      <b/>
      <i/>
      <u/>
      <sz val="11"/>
      <color theme="1"/>
      <name val="Aptos Narrow"/>
      <family val="2"/>
      <scheme val="minor"/>
    </font>
  </fonts>
  <fills count="9">
    <fill>
      <patternFill patternType="none"/>
    </fill>
    <fill>
      <patternFill patternType="gray125"/>
    </fill>
    <fill>
      <patternFill patternType="solid">
        <fgColor theme="9" tint="0.79998168889431442"/>
        <bgColor indexed="64"/>
      </patternFill>
    </fill>
    <fill>
      <patternFill patternType="solid">
        <fgColor rgb="FF002060"/>
        <bgColor indexed="64"/>
      </patternFill>
    </fill>
    <fill>
      <patternFill patternType="solid">
        <fgColor theme="0"/>
        <bgColor indexed="64"/>
      </patternFill>
    </fill>
    <fill>
      <patternFill patternType="solid">
        <fgColor rgb="FFDE0A01"/>
        <bgColor indexed="64"/>
      </patternFill>
    </fill>
    <fill>
      <patternFill patternType="solid">
        <fgColor rgb="FFF5AB23"/>
        <bgColor indexed="64"/>
      </patternFill>
    </fill>
    <fill>
      <patternFill patternType="solid">
        <fgColor rgb="FF00A76D"/>
        <bgColor indexed="64"/>
      </patternFill>
    </fill>
    <fill>
      <patternFill patternType="solid">
        <fgColor theme="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1">
    <xf numFmtId="0" fontId="0" fillId="0" borderId="0"/>
  </cellStyleXfs>
  <cellXfs count="31">
    <xf numFmtId="0" fontId="0" fillId="0" borderId="0" xfId="0"/>
    <xf numFmtId="0" fontId="3" fillId="4" borderId="0" xfId="0" applyFont="1" applyFill="1"/>
    <xf numFmtId="0" fontId="5" fillId="0" borderId="0" xfId="0" applyFont="1"/>
    <xf numFmtId="0" fontId="6" fillId="4" borderId="0" xfId="0" applyFont="1" applyFill="1" applyAlignment="1">
      <alignment vertical="center"/>
    </xf>
    <xf numFmtId="164" fontId="6" fillId="4" borderId="0" xfId="0" applyNumberFormat="1" applyFont="1" applyFill="1" applyAlignment="1" applyProtection="1">
      <alignment horizontal="right"/>
      <protection locked="0"/>
    </xf>
    <xf numFmtId="165" fontId="6" fillId="4" borderId="0" xfId="0" applyNumberFormat="1" applyFont="1" applyFill="1"/>
    <xf numFmtId="164" fontId="5" fillId="4" borderId="0" xfId="0" applyNumberFormat="1" applyFont="1" applyFill="1"/>
    <xf numFmtId="0" fontId="6" fillId="4" borderId="0" xfId="0" applyFont="1" applyFill="1"/>
    <xf numFmtId="0" fontId="6" fillId="5" borderId="0" xfId="0" applyFont="1" applyFill="1"/>
    <xf numFmtId="0" fontId="6" fillId="6" borderId="0" xfId="0" applyFont="1" applyFill="1"/>
    <xf numFmtId="0" fontId="6" fillId="7" borderId="0" xfId="0" applyFont="1" applyFill="1"/>
    <xf numFmtId="0" fontId="6" fillId="4" borderId="0" xfId="0" applyFont="1" applyFill="1" applyAlignment="1">
      <alignment horizontal="right" vertical="center"/>
    </xf>
    <xf numFmtId="166" fontId="5" fillId="0" borderId="0" xfId="0" applyNumberFormat="1" applyFont="1"/>
    <xf numFmtId="0" fontId="7" fillId="0" borderId="0" xfId="0" applyFont="1" applyAlignment="1">
      <alignment horizontal="center" vertical="center"/>
    </xf>
    <xf numFmtId="0" fontId="0" fillId="8" borderId="1" xfId="0" applyFill="1" applyBorder="1" applyAlignment="1" applyProtection="1">
      <alignment horizontal="center" vertical="center"/>
      <protection locked="0"/>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8" fillId="0" borderId="1" xfId="0" applyFont="1" applyBorder="1" applyAlignment="1">
      <alignment vertical="center"/>
    </xf>
    <xf numFmtId="0" fontId="8" fillId="0" borderId="1" xfId="0" applyFont="1" applyBorder="1" applyAlignment="1">
      <alignment vertical="center" wrapText="1"/>
    </xf>
    <xf numFmtId="0" fontId="2" fillId="3" borderId="0" xfId="0" applyFont="1" applyFill="1" applyAlignment="1">
      <alignment horizontal="center" vertical="center"/>
    </xf>
    <xf numFmtId="0" fontId="0" fillId="0" borderId="1" xfId="0" applyBorder="1" applyAlignment="1" applyProtection="1">
      <alignment wrapText="1"/>
    </xf>
    <xf numFmtId="0" fontId="1" fillId="0" borderId="1" xfId="0" applyFont="1" applyBorder="1" applyAlignment="1" applyProtection="1">
      <alignment horizontal="center" vertical="center" wrapText="1"/>
    </xf>
    <xf numFmtId="0" fontId="0" fillId="0" borderId="1" xfId="0" applyBorder="1" applyAlignment="1" applyProtection="1">
      <alignment horizontal="center" vertical="center" wrapText="1"/>
    </xf>
    <xf numFmtId="0" fontId="0" fillId="0" borderId="0" xfId="0" applyProtection="1"/>
    <xf numFmtId="0" fontId="0" fillId="2" borderId="1" xfId="0" applyFill="1" applyBorder="1" applyAlignment="1" applyProtection="1">
      <alignment vertical="center" wrapText="1"/>
    </xf>
    <xf numFmtId="0" fontId="0" fillId="2" borderId="1" xfId="0" applyFill="1" applyBorder="1" applyAlignment="1" applyProtection="1">
      <alignment vertical="center"/>
    </xf>
    <xf numFmtId="0" fontId="0" fillId="0" borderId="1" xfId="0" applyBorder="1" applyAlignment="1" applyProtection="1">
      <alignment horizontal="right" vertical="center" wrapText="1"/>
    </xf>
    <xf numFmtId="0" fontId="1" fillId="2" borderId="1" xfId="0" applyFont="1" applyFill="1" applyBorder="1" applyAlignment="1" applyProtection="1">
      <alignment vertical="center" wrapText="1"/>
    </xf>
    <xf numFmtId="0" fontId="0" fillId="0" borderId="2" xfId="0" applyBorder="1" applyAlignment="1" applyProtection="1">
      <alignment horizontal="right" vertical="center" wrapText="1"/>
    </xf>
    <xf numFmtId="0" fontId="0" fillId="0" borderId="0" xfId="0" applyAlignment="1" applyProtection="1">
      <alignmen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GBox" noThreeD="1"/>
</file>

<file path=xl/drawings/drawing1.xml><?xml version="1.0" encoding="utf-8"?>
<xdr:wsDr xmlns:xdr="http://schemas.openxmlformats.org/drawingml/2006/spreadsheetDrawing" xmlns:a="http://schemas.openxmlformats.org/drawingml/2006/main">
  <xdr:twoCellAnchor>
    <xdr:from>
      <xdr:col>1</xdr:col>
      <xdr:colOff>38100</xdr:colOff>
      <xdr:row>1</xdr:row>
      <xdr:rowOff>7689</xdr:rowOff>
    </xdr:from>
    <xdr:to>
      <xdr:col>1</xdr:col>
      <xdr:colOff>601579</xdr:colOff>
      <xdr:row>3</xdr:row>
      <xdr:rowOff>100263</xdr:rowOff>
    </xdr:to>
    <xdr:sp macro="" textlink="">
      <xdr:nvSpPr>
        <xdr:cNvPr id="3" name="TextBox 1">
          <a:extLst>
            <a:ext uri="{FF2B5EF4-FFF2-40B4-BE49-F238E27FC236}">
              <a16:creationId xmlns:a16="http://schemas.microsoft.com/office/drawing/2014/main" id="{00000000-0008-0000-0300-000003000000}"/>
            </a:ext>
          </a:extLst>
        </xdr:cNvPr>
        <xdr:cNvSpPr txBox="1"/>
      </xdr:nvSpPr>
      <xdr:spPr>
        <a:xfrm>
          <a:off x="165100" y="261689"/>
          <a:ext cx="563479" cy="3799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rIns="0" rtlCol="0" anchor="t">
          <a:noAutofit/>
        </a:bodyPr>
        <a:lstStyle/>
        <a:p>
          <a:pPr algn="l"/>
          <a:r>
            <a:rPr lang="en-US" sz="800" b="1">
              <a:solidFill>
                <a:srgbClr val="DE0A01"/>
              </a:solidFill>
              <a:latin typeface="Arial" panose="020B0604020202020204" pitchFamily="34" charset="0"/>
              <a:cs typeface="Arial" panose="020B0604020202020204" pitchFamily="34" charset="0"/>
            </a:rPr>
            <a:t>Not</a:t>
          </a:r>
          <a:r>
            <a:rPr lang="en-US" sz="800" b="1" baseline="0">
              <a:solidFill>
                <a:srgbClr val="DE0A01"/>
              </a:solidFill>
              <a:latin typeface="Arial" panose="020B0604020202020204" pitchFamily="34" charset="0"/>
              <a:cs typeface="Arial" panose="020B0604020202020204" pitchFamily="34" charset="0"/>
            </a:rPr>
            <a:t> Ready</a:t>
          </a:r>
        </a:p>
        <a:p>
          <a:pPr algn="l"/>
          <a:r>
            <a:rPr lang="en-US" sz="800" b="1" baseline="0">
              <a:solidFill>
                <a:srgbClr val="DE0A01"/>
              </a:solidFill>
              <a:latin typeface="Arial" panose="020B0604020202020204" pitchFamily="34" charset="0"/>
              <a:cs typeface="Arial" panose="020B0604020202020204" pitchFamily="34" charset="0"/>
            </a:rPr>
            <a:t>        0</a:t>
          </a:r>
          <a:endParaRPr lang="en-US" sz="800" b="1">
            <a:solidFill>
              <a:srgbClr val="DE0A01"/>
            </a:solidFill>
            <a:latin typeface="Arial" panose="020B0604020202020204" pitchFamily="34" charset="0"/>
            <a:cs typeface="Arial" panose="020B0604020202020204" pitchFamily="34" charset="0"/>
          </a:endParaRPr>
        </a:p>
      </xdr:txBody>
    </xdr:sp>
    <xdr:clientData/>
  </xdr:twoCellAnchor>
  <xdr:twoCellAnchor>
    <xdr:from>
      <xdr:col>1</xdr:col>
      <xdr:colOff>7095623</xdr:colOff>
      <xdr:row>0</xdr:row>
      <xdr:rowOff>247559</xdr:rowOff>
    </xdr:from>
    <xdr:to>
      <xdr:col>1</xdr:col>
      <xdr:colOff>7787991</xdr:colOff>
      <xdr:row>3</xdr:row>
      <xdr:rowOff>73527</xdr:rowOff>
    </xdr:to>
    <xdr:sp macro="" textlink="">
      <xdr:nvSpPr>
        <xdr:cNvPr id="5" name="TextBox 2">
          <a:extLst>
            <a:ext uri="{FF2B5EF4-FFF2-40B4-BE49-F238E27FC236}">
              <a16:creationId xmlns:a16="http://schemas.microsoft.com/office/drawing/2014/main" id="{00000000-0008-0000-0300-000005000000}"/>
            </a:ext>
          </a:extLst>
        </xdr:cNvPr>
        <xdr:cNvSpPr txBox="1"/>
      </xdr:nvSpPr>
      <xdr:spPr>
        <a:xfrm>
          <a:off x="7222623" y="247559"/>
          <a:ext cx="692368" cy="3673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rIns="0" rtlCol="0" anchor="t">
          <a:noAutofit/>
        </a:bodyPr>
        <a:lstStyle/>
        <a:p>
          <a:pPr algn="r"/>
          <a:r>
            <a:rPr lang="en-US" sz="800" b="1">
              <a:solidFill>
                <a:srgbClr val="00A76D"/>
              </a:solidFill>
              <a:latin typeface="Arial" panose="020B0604020202020204" pitchFamily="34" charset="0"/>
              <a:cs typeface="Arial" panose="020B0604020202020204" pitchFamily="34" charset="0"/>
            </a:rPr>
            <a:t>Ready</a:t>
          </a:r>
        </a:p>
        <a:p>
          <a:pPr algn="r"/>
          <a:r>
            <a:rPr lang="en-US" sz="800" b="1">
              <a:solidFill>
                <a:srgbClr val="00A76D"/>
              </a:solidFill>
              <a:latin typeface="Arial" panose="020B0604020202020204" pitchFamily="34" charset="0"/>
              <a:cs typeface="Arial" panose="020B0604020202020204" pitchFamily="34" charset="0"/>
            </a:rPr>
            <a:t>5    </a:t>
          </a:r>
        </a:p>
      </xdr:txBody>
    </xdr:sp>
    <xdr:clientData/>
  </xdr:twoCellAnchor>
  <mc:AlternateContent xmlns:mc="http://schemas.openxmlformats.org/markup-compatibility/2006">
    <mc:Choice xmlns:a14="http://schemas.microsoft.com/office/drawing/2010/main" Requires="a14">
      <xdr:twoCellAnchor editAs="oneCell">
        <xdr:from>
          <xdr:col>1</xdr:col>
          <xdr:colOff>6350</xdr:colOff>
          <xdr:row>4</xdr:row>
          <xdr:rowOff>76200</xdr:rowOff>
        </xdr:from>
        <xdr:to>
          <xdr:col>1</xdr:col>
          <xdr:colOff>7816850</xdr:colOff>
          <xdr:row>10</xdr:row>
          <xdr:rowOff>107950</xdr:rowOff>
        </xdr:to>
        <xdr:sp macro="" textlink="">
          <xdr:nvSpPr>
            <xdr:cNvPr id="6146" name="Group Box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en-US" sz="800" b="0" i="0" u="none" strike="noStrike" baseline="0">
                  <a:solidFill>
                    <a:srgbClr val="000000"/>
                  </a:solidFill>
                  <a:latin typeface="Segoe UI"/>
                  <a:cs typeface="Segoe UI"/>
                </a:rPr>
                <a:t>Strategic Readiness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6350</xdr:colOff>
          <xdr:row>10</xdr:row>
          <xdr:rowOff>184150</xdr:rowOff>
        </xdr:from>
        <xdr:to>
          <xdr:col>1</xdr:col>
          <xdr:colOff>7810500</xdr:colOff>
          <xdr:row>17</xdr:row>
          <xdr:rowOff>19050</xdr:rowOff>
        </xdr:to>
        <xdr:sp macro="" textlink="">
          <xdr:nvSpPr>
            <xdr:cNvPr id="6147" name="Group Box 3" hidden="1">
              <a:extLst>
                <a:ext uri="{63B3BB69-23CF-44E3-9099-C40C66FF867C}">
                  <a14:compatExt spid="_x0000_s6147"/>
                </a:ext>
                <a:ext uri="{FF2B5EF4-FFF2-40B4-BE49-F238E27FC236}">
                  <a16:creationId xmlns:a16="http://schemas.microsoft.com/office/drawing/2014/main" id="{00000000-0008-0000-0200-000003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en-US" sz="800" b="0" i="0" u="none" strike="noStrike" baseline="0">
                  <a:solidFill>
                    <a:srgbClr val="000000"/>
                  </a:solidFill>
                  <a:latin typeface="Segoe UI"/>
                  <a:cs typeface="Segoe UI"/>
                </a:rPr>
                <a:t>Cultural Readiness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6350</xdr:colOff>
          <xdr:row>17</xdr:row>
          <xdr:rowOff>107950</xdr:rowOff>
        </xdr:from>
        <xdr:to>
          <xdr:col>1</xdr:col>
          <xdr:colOff>7810500</xdr:colOff>
          <xdr:row>23</xdr:row>
          <xdr:rowOff>107950</xdr:rowOff>
        </xdr:to>
        <xdr:sp macro="" textlink="">
          <xdr:nvSpPr>
            <xdr:cNvPr id="6148" name="Group Box 4"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en-US" sz="800" b="0" i="0" u="none" strike="noStrike" baseline="0">
                  <a:solidFill>
                    <a:srgbClr val="000000"/>
                  </a:solidFill>
                  <a:latin typeface="Segoe UI"/>
                  <a:cs typeface="Segoe UI"/>
                </a:rPr>
                <a:t>Technical Readiness</a:t>
              </a:r>
            </a:p>
          </xdr:txBody>
        </xdr:sp>
        <xdr:clientData/>
      </xdr:twoCellAnchor>
    </mc:Choice>
    <mc:Fallback/>
  </mc:AlternateContent>
  <xdr:twoCellAnchor>
    <xdr:from>
      <xdr:col>1</xdr:col>
      <xdr:colOff>50800</xdr:colOff>
      <xdr:row>12</xdr:row>
      <xdr:rowOff>78657</xdr:rowOff>
    </xdr:from>
    <xdr:to>
      <xdr:col>1</xdr:col>
      <xdr:colOff>7759918</xdr:colOff>
      <xdr:row>13</xdr:row>
      <xdr:rowOff>60486</xdr:rowOff>
    </xdr:to>
    <xdr:sp macro="" textlink="Hide!C59">
      <xdr:nvSpPr>
        <xdr:cNvPr id="8" name="Rectangle 107">
          <a:extLst>
            <a:ext uri="{FF2B5EF4-FFF2-40B4-BE49-F238E27FC236}">
              <a16:creationId xmlns:a16="http://schemas.microsoft.com/office/drawing/2014/main" id="{00000000-0008-0000-0300-000008000000}"/>
            </a:ext>
          </a:extLst>
        </xdr:cNvPr>
        <xdr:cNvSpPr/>
      </xdr:nvSpPr>
      <xdr:spPr>
        <a:xfrm>
          <a:off x="177800" y="2275757"/>
          <a:ext cx="7709118" cy="165979"/>
        </a:xfrm>
        <a:prstGeom prst="rect">
          <a:avLst/>
        </a:prstGeom>
        <a:gradFill flip="none" rotWithShape="1">
          <a:gsLst>
            <a:gs pos="26000">
              <a:srgbClr val="F5AB23"/>
            </a:gs>
            <a:gs pos="5000">
              <a:srgbClr val="DE0A01"/>
            </a:gs>
            <a:gs pos="73000">
              <a:srgbClr val="F5AB23"/>
            </a:gs>
            <a:gs pos="95000">
              <a:srgbClr val="00A76D"/>
            </a:gs>
          </a:gsLst>
          <a:lin ang="0" scaled="1"/>
          <a:tileRect/>
        </a:gradFill>
      </xdr:spPr>
      <xdr:txBody>
        <a:bodyPr wrap="square" anchor="ctr">
          <a:noAutofit/>
        </a:bodyPr>
        <a:lstStyle/>
        <a:p>
          <a:pPr marL="0" indent="0" algn="ctr" defTabSz="914400" rtl="0" eaLnBrk="1" latinLnBrk="0" hangingPunct="1"/>
          <a:fld id="{FB06330F-0A43-44A4-8DC6-3CE2001AAB88}" type="TxLink">
            <a:rPr lang="en-US" sz="1000" b="0" i="0" u="none" strike="noStrike" kern="1200">
              <a:solidFill>
                <a:srgbClr val="000000"/>
              </a:solidFill>
              <a:latin typeface="Ariel"/>
              <a:ea typeface="+mn-ea"/>
              <a:cs typeface="Arial" panose="020B0604020202020204" pitchFamily="34" charset="0"/>
            </a:rPr>
            <a:pPr marL="0" indent="0" algn="ctr" defTabSz="914400" rtl="0" eaLnBrk="1" latinLnBrk="0" hangingPunct="1"/>
            <a:t>Environment: 0</a:t>
          </a:fld>
          <a:endParaRPr lang="en-US" sz="800" b="1" i="0" u="none" strike="noStrike" kern="1200">
            <a:solidFill>
              <a:schemeClr val="accent1">
                <a:lumMod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1</xdr:col>
      <xdr:colOff>2687048</xdr:colOff>
      <xdr:row>4</xdr:row>
      <xdr:rowOff>133687</xdr:rowOff>
    </xdr:from>
    <xdr:to>
      <xdr:col>1</xdr:col>
      <xdr:colOff>5200315</xdr:colOff>
      <xdr:row>5</xdr:row>
      <xdr:rowOff>127003</xdr:rowOff>
    </xdr:to>
    <xdr:sp macro="" textlink="Hide!C77">
      <xdr:nvSpPr>
        <xdr:cNvPr id="9" name="Rectangle 500">
          <a:extLst>
            <a:ext uri="{FF2B5EF4-FFF2-40B4-BE49-F238E27FC236}">
              <a16:creationId xmlns:a16="http://schemas.microsoft.com/office/drawing/2014/main" id="{00000000-0008-0000-0300-000009000000}"/>
            </a:ext>
          </a:extLst>
        </xdr:cNvPr>
        <xdr:cNvSpPr/>
      </xdr:nvSpPr>
      <xdr:spPr>
        <a:xfrm>
          <a:off x="2814048" y="862266"/>
          <a:ext cx="2513267" cy="180474"/>
        </a:xfrm>
        <a:prstGeom prst="rect">
          <a:avLst/>
        </a:prstGeom>
        <a:solidFill>
          <a:srgbClr val="00A76D"/>
        </a:solidFill>
      </xdr:spPr>
      <xdr:txBody>
        <a:bodyPr wrap="square" anchor="ctr">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ctr" defTabSz="914400" rtl="0" eaLnBrk="1" latinLnBrk="0" hangingPunct="1"/>
          <a:fld id="{81CB3069-6B2B-45EF-9E3E-B62E6A0FB62C}" type="TxLink">
            <a:rPr lang="en-US" sz="1000" b="0" i="0" u="none" strike="noStrike" kern="1200" baseline="0">
              <a:solidFill>
                <a:srgbClr val="000000"/>
              </a:solidFill>
              <a:latin typeface="Ariel"/>
              <a:ea typeface="+mn-ea"/>
              <a:cs typeface="Arial" panose="020B0604020202020204" pitchFamily="34" charset="0"/>
            </a:rPr>
            <a:pPr marL="0" indent="0" algn="ctr" defTabSz="914400" rtl="0" eaLnBrk="1" latinLnBrk="0" hangingPunct="1"/>
            <a:t>Overall Strategic Readiness Score: 4.15</a:t>
          </a:fld>
          <a:endParaRPr lang="en-US" sz="800" b="1" kern="1200">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1</xdr:col>
      <xdr:colOff>50800</xdr:colOff>
      <xdr:row>13</xdr:row>
      <xdr:rowOff>104057</xdr:rowOff>
    </xdr:from>
    <xdr:to>
      <xdr:col>1</xdr:col>
      <xdr:colOff>7759918</xdr:colOff>
      <xdr:row>14</xdr:row>
      <xdr:rowOff>85886</xdr:rowOff>
    </xdr:to>
    <xdr:sp macro="" textlink="Hide!C60">
      <xdr:nvSpPr>
        <xdr:cNvPr id="10" name="Rectangle 108">
          <a:extLst>
            <a:ext uri="{FF2B5EF4-FFF2-40B4-BE49-F238E27FC236}">
              <a16:creationId xmlns:a16="http://schemas.microsoft.com/office/drawing/2014/main" id="{00000000-0008-0000-0300-00000A000000}"/>
            </a:ext>
          </a:extLst>
        </xdr:cNvPr>
        <xdr:cNvSpPr/>
      </xdr:nvSpPr>
      <xdr:spPr>
        <a:xfrm>
          <a:off x="177800" y="2485307"/>
          <a:ext cx="7709118" cy="165979"/>
        </a:xfrm>
        <a:prstGeom prst="rect">
          <a:avLst/>
        </a:prstGeom>
        <a:gradFill flip="none" rotWithShape="1">
          <a:gsLst>
            <a:gs pos="26000">
              <a:srgbClr val="F5AB23"/>
            </a:gs>
            <a:gs pos="5000">
              <a:srgbClr val="DE0A01"/>
            </a:gs>
            <a:gs pos="73000">
              <a:srgbClr val="F5AB23"/>
            </a:gs>
            <a:gs pos="95000">
              <a:srgbClr val="00A76D"/>
            </a:gs>
          </a:gsLst>
          <a:lin ang="0" scaled="1"/>
          <a:tileRect/>
        </a:gradFill>
      </xdr:spPr>
      <xdr:txBody>
        <a:bodyPr wrap="square" anchor="ctr">
          <a:noAutofit/>
        </a:bodyPr>
        <a:lstStyle/>
        <a:p>
          <a:pPr marL="0" indent="0" algn="ctr" defTabSz="914400" rtl="0" eaLnBrk="1" latinLnBrk="0" hangingPunct="1"/>
          <a:fld id="{0CCD80E1-8D22-4DE4-BBA9-1647E88D8CC7}" type="TxLink">
            <a:rPr lang="en-US" sz="1000" b="0" i="0" u="none" strike="noStrike" kern="1200">
              <a:solidFill>
                <a:srgbClr val="000000"/>
              </a:solidFill>
              <a:latin typeface="Ariel"/>
              <a:ea typeface="+mn-ea"/>
              <a:cs typeface="Arial" panose="020B0604020202020204" pitchFamily="34" charset="0"/>
            </a:rPr>
            <a:pPr marL="0" indent="0" algn="ctr" defTabSz="914400" rtl="0" eaLnBrk="1" latinLnBrk="0" hangingPunct="1"/>
            <a:t>Financial: 4</a:t>
          </a:fld>
          <a:endParaRPr lang="en-US" sz="800" b="1" i="0" u="none" strike="noStrike" kern="1200">
            <a:solidFill>
              <a:schemeClr val="accent1">
                <a:lumMod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1</xdr:col>
      <xdr:colOff>50800</xdr:colOff>
      <xdr:row>19</xdr:row>
      <xdr:rowOff>12817</xdr:rowOff>
    </xdr:from>
    <xdr:to>
      <xdr:col>1</xdr:col>
      <xdr:colOff>7759918</xdr:colOff>
      <xdr:row>19</xdr:row>
      <xdr:rowOff>181803</xdr:rowOff>
    </xdr:to>
    <xdr:sp macro="" textlink="Hide!C65">
      <xdr:nvSpPr>
        <xdr:cNvPr id="12" name="Rectangle 112">
          <a:extLst>
            <a:ext uri="{FF2B5EF4-FFF2-40B4-BE49-F238E27FC236}">
              <a16:creationId xmlns:a16="http://schemas.microsoft.com/office/drawing/2014/main" id="{00000000-0008-0000-0300-00000C000000}"/>
            </a:ext>
          </a:extLst>
        </xdr:cNvPr>
        <xdr:cNvSpPr/>
      </xdr:nvSpPr>
      <xdr:spPr>
        <a:xfrm>
          <a:off x="177800" y="3498967"/>
          <a:ext cx="7709118" cy="168986"/>
        </a:xfrm>
        <a:prstGeom prst="rect">
          <a:avLst/>
        </a:prstGeom>
        <a:gradFill flip="none" rotWithShape="1">
          <a:gsLst>
            <a:gs pos="26000">
              <a:srgbClr val="F5AB23"/>
            </a:gs>
            <a:gs pos="5000">
              <a:srgbClr val="DE0A01"/>
            </a:gs>
            <a:gs pos="73000">
              <a:srgbClr val="F5AB23"/>
            </a:gs>
            <a:gs pos="95000">
              <a:srgbClr val="00A76D"/>
            </a:gs>
          </a:gsLst>
          <a:lin ang="0" scaled="1"/>
          <a:tileRect/>
        </a:gradFill>
      </xdr:spPr>
      <xdr:txBody>
        <a:bodyPr wrap="square" anchor="ctr">
          <a:noAutofit/>
        </a:bodyPr>
        <a:lstStyle/>
        <a:p>
          <a:pPr marL="0" indent="0" algn="ctr" defTabSz="914400" rtl="0" eaLnBrk="1" latinLnBrk="0" hangingPunct="1"/>
          <a:fld id="{4494C8EA-86A3-46DF-872A-5068D4A8B774}" type="TxLink">
            <a:rPr lang="en-US" sz="1000" b="0" i="0" u="none" strike="noStrike" kern="1200">
              <a:solidFill>
                <a:srgbClr val="000000"/>
              </a:solidFill>
              <a:latin typeface="Ariel"/>
              <a:ea typeface="+mn-ea"/>
              <a:cs typeface="Arial" panose="020B0604020202020204" pitchFamily="34" charset="0"/>
            </a:rPr>
            <a:pPr marL="0" indent="0" algn="ctr" defTabSz="914400" rtl="0" eaLnBrk="1" latinLnBrk="0" hangingPunct="1"/>
            <a:t>Environment: 1</a:t>
          </a:fld>
          <a:endParaRPr lang="en-US" sz="800" b="1" i="0" u="none" strike="noStrike" kern="1200">
            <a:solidFill>
              <a:schemeClr val="accent1">
                <a:lumMod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1</xdr:col>
      <xdr:colOff>2687051</xdr:colOff>
      <xdr:row>11</xdr:row>
      <xdr:rowOff>53477</xdr:rowOff>
    </xdr:from>
    <xdr:to>
      <xdr:col>1</xdr:col>
      <xdr:colOff>5201651</xdr:colOff>
      <xdr:row>12</xdr:row>
      <xdr:rowOff>49199</xdr:rowOff>
    </xdr:to>
    <xdr:sp macro="" textlink="Hide!C78">
      <xdr:nvSpPr>
        <xdr:cNvPr id="13" name="Rectangle 501">
          <a:extLst>
            <a:ext uri="{FF2B5EF4-FFF2-40B4-BE49-F238E27FC236}">
              <a16:creationId xmlns:a16="http://schemas.microsoft.com/office/drawing/2014/main" id="{00000000-0008-0000-0300-00000D000000}"/>
            </a:ext>
          </a:extLst>
        </xdr:cNvPr>
        <xdr:cNvSpPr/>
      </xdr:nvSpPr>
      <xdr:spPr>
        <a:xfrm>
          <a:off x="2814051" y="2092161"/>
          <a:ext cx="2514600" cy="182880"/>
        </a:xfrm>
        <a:prstGeom prst="rect">
          <a:avLst/>
        </a:prstGeom>
        <a:solidFill>
          <a:srgbClr val="F5AB23"/>
        </a:solidFill>
      </xdr:spPr>
      <xdr:txBody>
        <a:bodyPr wrap="square" anchor="ctr">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ctr" defTabSz="914400" rtl="0" eaLnBrk="1" latinLnBrk="0" hangingPunct="1"/>
          <a:fld id="{DC48BAAB-2BD0-44D9-9BC5-27E0AEAAE84D}" type="TxLink">
            <a:rPr lang="en-US" sz="1000" b="0" i="0" u="none" strike="noStrike" kern="1200" baseline="0">
              <a:solidFill>
                <a:srgbClr val="000000"/>
              </a:solidFill>
              <a:latin typeface="Ariel"/>
              <a:ea typeface="+mn-ea"/>
              <a:cs typeface="Arial" panose="020B0604020202020204" pitchFamily="34" charset="0"/>
            </a:rPr>
            <a:pPr marL="0" indent="0" algn="ctr" defTabSz="914400" rtl="0" eaLnBrk="1" latinLnBrk="0" hangingPunct="1"/>
            <a:t>Overall Cultural Readiness Score: 2.29</a:t>
          </a:fld>
          <a:endParaRPr lang="en-US" sz="800" b="1" kern="1200">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1</xdr:col>
      <xdr:colOff>50800</xdr:colOff>
      <xdr:row>20</xdr:row>
      <xdr:rowOff>31866</xdr:rowOff>
    </xdr:from>
    <xdr:to>
      <xdr:col>1</xdr:col>
      <xdr:colOff>7759918</xdr:colOff>
      <xdr:row>21</xdr:row>
      <xdr:rowOff>13695</xdr:rowOff>
    </xdr:to>
    <xdr:sp macro="" textlink="Hide!C66">
      <xdr:nvSpPr>
        <xdr:cNvPr id="14" name="Rectangle 113">
          <a:extLst>
            <a:ext uri="{FF2B5EF4-FFF2-40B4-BE49-F238E27FC236}">
              <a16:creationId xmlns:a16="http://schemas.microsoft.com/office/drawing/2014/main" id="{00000000-0008-0000-0300-00000E000000}"/>
            </a:ext>
          </a:extLst>
        </xdr:cNvPr>
        <xdr:cNvSpPr/>
      </xdr:nvSpPr>
      <xdr:spPr>
        <a:xfrm>
          <a:off x="177800" y="3702166"/>
          <a:ext cx="7709118" cy="165979"/>
        </a:xfrm>
        <a:prstGeom prst="rect">
          <a:avLst/>
        </a:prstGeom>
        <a:gradFill flip="none" rotWithShape="1">
          <a:gsLst>
            <a:gs pos="26000">
              <a:srgbClr val="F5AB23"/>
            </a:gs>
            <a:gs pos="5000">
              <a:srgbClr val="DE0A01"/>
            </a:gs>
            <a:gs pos="73000">
              <a:srgbClr val="F5AB23"/>
            </a:gs>
            <a:gs pos="95000">
              <a:srgbClr val="00A76D"/>
            </a:gs>
          </a:gsLst>
          <a:lin ang="0" scaled="1"/>
          <a:tileRect/>
        </a:gradFill>
      </xdr:spPr>
      <xdr:txBody>
        <a:bodyPr wrap="square" anchor="ctr">
          <a:noAutofit/>
        </a:bodyPr>
        <a:lstStyle/>
        <a:p>
          <a:pPr marL="0" indent="0" algn="ctr" defTabSz="914400" rtl="0" eaLnBrk="1" latinLnBrk="0" hangingPunct="1"/>
          <a:fld id="{7E854566-AAFC-4B66-8FDD-D209B8A3F0AC}" type="TxLink">
            <a:rPr lang="en-US" sz="1000" b="0" i="0" u="none" strike="noStrike" kern="1200">
              <a:solidFill>
                <a:srgbClr val="000000"/>
              </a:solidFill>
              <a:latin typeface="Ariel"/>
              <a:ea typeface="+mn-ea"/>
              <a:cs typeface="Arial" panose="020B0604020202020204" pitchFamily="34" charset="0"/>
            </a:rPr>
            <a:pPr marL="0" indent="0" algn="ctr" defTabSz="914400" rtl="0" eaLnBrk="1" latinLnBrk="0" hangingPunct="1"/>
            <a:t>Financial: 2</a:t>
          </a:fld>
          <a:endParaRPr lang="en-US" sz="800" b="1" i="0" u="none" strike="noStrike" kern="1200">
            <a:solidFill>
              <a:schemeClr val="accent1">
                <a:lumMod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1</xdr:col>
      <xdr:colOff>50800</xdr:colOff>
      <xdr:row>21</xdr:row>
      <xdr:rowOff>50916</xdr:rowOff>
    </xdr:from>
    <xdr:to>
      <xdr:col>1</xdr:col>
      <xdr:colOff>7759918</xdr:colOff>
      <xdr:row>22</xdr:row>
      <xdr:rowOff>32745</xdr:rowOff>
    </xdr:to>
    <xdr:sp macro="" textlink="Hide!C67">
      <xdr:nvSpPr>
        <xdr:cNvPr id="15" name="Rectangle 114">
          <a:extLst>
            <a:ext uri="{FF2B5EF4-FFF2-40B4-BE49-F238E27FC236}">
              <a16:creationId xmlns:a16="http://schemas.microsoft.com/office/drawing/2014/main" id="{00000000-0008-0000-0300-00000F000000}"/>
            </a:ext>
          </a:extLst>
        </xdr:cNvPr>
        <xdr:cNvSpPr/>
      </xdr:nvSpPr>
      <xdr:spPr>
        <a:xfrm>
          <a:off x="177800" y="3905366"/>
          <a:ext cx="7709118" cy="165979"/>
        </a:xfrm>
        <a:prstGeom prst="rect">
          <a:avLst/>
        </a:prstGeom>
        <a:gradFill flip="none" rotWithShape="1">
          <a:gsLst>
            <a:gs pos="26000">
              <a:srgbClr val="F5AB23"/>
            </a:gs>
            <a:gs pos="5000">
              <a:srgbClr val="DE0A01"/>
            </a:gs>
            <a:gs pos="73000">
              <a:srgbClr val="F5AB23"/>
            </a:gs>
            <a:gs pos="95000">
              <a:srgbClr val="00A76D"/>
            </a:gs>
          </a:gsLst>
          <a:lin ang="0" scaled="1"/>
          <a:tileRect/>
        </a:gradFill>
      </xdr:spPr>
      <xdr:txBody>
        <a:bodyPr wrap="square" anchor="ctr">
          <a:noAutofit/>
        </a:bodyPr>
        <a:lstStyle/>
        <a:p>
          <a:pPr marL="0" indent="0" algn="ctr" defTabSz="914400" rtl="0" eaLnBrk="1" latinLnBrk="0" hangingPunct="1"/>
          <a:fld id="{BD89D450-D0CA-43E9-8C3D-84739613EFAF}" type="TxLink">
            <a:rPr lang="en-US" sz="1000" b="0" i="0" u="none" strike="noStrike" kern="1200">
              <a:solidFill>
                <a:srgbClr val="000000"/>
              </a:solidFill>
              <a:latin typeface="Ariel"/>
              <a:ea typeface="+mn-ea"/>
              <a:cs typeface="Arial" panose="020B0604020202020204" pitchFamily="34" charset="0"/>
            </a:rPr>
            <a:pPr marL="0" indent="0" algn="ctr" defTabSz="914400" rtl="0" eaLnBrk="1" latinLnBrk="0" hangingPunct="1"/>
            <a:t>People: 1.7</a:t>
          </a:fld>
          <a:endParaRPr lang="en-US" sz="800" b="1" i="0" u="none" strike="noStrike" kern="1200">
            <a:solidFill>
              <a:schemeClr val="accent1">
                <a:lumMod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1</xdr:col>
      <xdr:colOff>50800</xdr:colOff>
      <xdr:row>22</xdr:row>
      <xdr:rowOff>69966</xdr:rowOff>
    </xdr:from>
    <xdr:to>
      <xdr:col>1</xdr:col>
      <xdr:colOff>7759918</xdr:colOff>
      <xdr:row>23</xdr:row>
      <xdr:rowOff>51795</xdr:rowOff>
    </xdr:to>
    <xdr:sp macro="" textlink="Hide!C68">
      <xdr:nvSpPr>
        <xdr:cNvPr id="16" name="Rectangle 115">
          <a:extLst>
            <a:ext uri="{FF2B5EF4-FFF2-40B4-BE49-F238E27FC236}">
              <a16:creationId xmlns:a16="http://schemas.microsoft.com/office/drawing/2014/main" id="{00000000-0008-0000-0300-000010000000}"/>
            </a:ext>
          </a:extLst>
        </xdr:cNvPr>
        <xdr:cNvSpPr/>
      </xdr:nvSpPr>
      <xdr:spPr>
        <a:xfrm>
          <a:off x="177800" y="4108566"/>
          <a:ext cx="7709118" cy="165979"/>
        </a:xfrm>
        <a:prstGeom prst="rect">
          <a:avLst/>
        </a:prstGeom>
        <a:gradFill flip="none" rotWithShape="1">
          <a:gsLst>
            <a:gs pos="26000">
              <a:srgbClr val="F5AB23"/>
            </a:gs>
            <a:gs pos="5000">
              <a:srgbClr val="DE0A01"/>
            </a:gs>
            <a:gs pos="73000">
              <a:srgbClr val="F5AB23"/>
            </a:gs>
            <a:gs pos="95000">
              <a:srgbClr val="00A76D"/>
            </a:gs>
          </a:gsLst>
          <a:lin ang="0" scaled="1"/>
          <a:tileRect/>
        </a:gradFill>
      </xdr:spPr>
      <xdr:txBody>
        <a:bodyPr wrap="square" anchor="ctr">
          <a:noAutofit/>
        </a:bodyPr>
        <a:lstStyle/>
        <a:p>
          <a:pPr marL="0" indent="0" algn="ctr" defTabSz="914400" rtl="0" eaLnBrk="1" latinLnBrk="0" hangingPunct="1"/>
          <a:fld id="{79FF1539-E0EB-4901-BD79-7918FD9F9C98}" type="TxLink">
            <a:rPr lang="en-US" sz="1000" b="0" i="0" u="none" strike="noStrike" kern="1200" baseline="0">
              <a:solidFill>
                <a:srgbClr val="000000"/>
              </a:solidFill>
              <a:latin typeface="Ariel"/>
              <a:ea typeface="+mn-ea"/>
              <a:cs typeface="Arial" panose="020B0604020202020204" pitchFamily="34" charset="0"/>
            </a:rPr>
            <a:pPr marL="0" indent="0" algn="ctr" defTabSz="914400" rtl="0" eaLnBrk="1" latinLnBrk="0" hangingPunct="1"/>
            <a:t>Process: 1.8</a:t>
          </a:fld>
          <a:endParaRPr lang="en-US" sz="800" b="1" i="0" u="none" strike="noStrike" kern="1200">
            <a:solidFill>
              <a:schemeClr val="accent1">
                <a:lumMod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1</xdr:col>
      <xdr:colOff>50800</xdr:colOff>
      <xdr:row>14</xdr:row>
      <xdr:rowOff>132465</xdr:rowOff>
    </xdr:from>
    <xdr:to>
      <xdr:col>1</xdr:col>
      <xdr:colOff>7759918</xdr:colOff>
      <xdr:row>15</xdr:row>
      <xdr:rowOff>111287</xdr:rowOff>
    </xdr:to>
    <xdr:sp macro="" textlink="Hide!C61">
      <xdr:nvSpPr>
        <xdr:cNvPr id="17" name="Rectangle 118">
          <a:extLst>
            <a:ext uri="{FF2B5EF4-FFF2-40B4-BE49-F238E27FC236}">
              <a16:creationId xmlns:a16="http://schemas.microsoft.com/office/drawing/2014/main" id="{00000000-0008-0000-0300-000011000000}"/>
            </a:ext>
          </a:extLst>
        </xdr:cNvPr>
        <xdr:cNvSpPr/>
      </xdr:nvSpPr>
      <xdr:spPr>
        <a:xfrm>
          <a:off x="177800" y="2697865"/>
          <a:ext cx="7709118" cy="162972"/>
        </a:xfrm>
        <a:prstGeom prst="rect">
          <a:avLst/>
        </a:prstGeom>
        <a:gradFill flip="none" rotWithShape="1">
          <a:gsLst>
            <a:gs pos="26000">
              <a:srgbClr val="F5AB23"/>
            </a:gs>
            <a:gs pos="5000">
              <a:srgbClr val="DE0A01"/>
            </a:gs>
            <a:gs pos="73000">
              <a:srgbClr val="F5AB23"/>
            </a:gs>
            <a:gs pos="95000">
              <a:srgbClr val="00A76D"/>
            </a:gs>
          </a:gsLst>
          <a:lin ang="0" scaled="1"/>
          <a:tileRect/>
        </a:gradFill>
      </xdr:spPr>
      <xdr:txBody>
        <a:bodyPr wrap="square" anchor="ctr">
          <a:noAutofit/>
        </a:bodyPr>
        <a:lstStyle/>
        <a:p>
          <a:pPr marL="0" indent="0" algn="ctr" defTabSz="914400" rtl="0" eaLnBrk="1" latinLnBrk="0" hangingPunct="1"/>
          <a:fld id="{7424D7B9-982D-4AD6-BC76-756C25EA47B0}" type="TxLink">
            <a:rPr lang="en-US" sz="1000" b="0" i="0" u="none" strike="noStrike" kern="1200">
              <a:solidFill>
                <a:srgbClr val="000000"/>
              </a:solidFill>
              <a:latin typeface="Ariel"/>
              <a:ea typeface="+mn-ea"/>
              <a:cs typeface="Arial" panose="020B0604020202020204" pitchFamily="34" charset="0"/>
            </a:rPr>
            <a:pPr marL="0" indent="0" algn="ctr" defTabSz="914400" rtl="0" eaLnBrk="1" latinLnBrk="0" hangingPunct="1"/>
            <a:t>People: 1.6</a:t>
          </a:fld>
          <a:endParaRPr lang="en-US" sz="800" b="1" i="0" u="none" strike="noStrike" kern="1200">
            <a:solidFill>
              <a:schemeClr val="accent1">
                <a:lumMod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1</xdr:col>
      <xdr:colOff>50800</xdr:colOff>
      <xdr:row>6</xdr:row>
      <xdr:rowOff>121</xdr:rowOff>
    </xdr:from>
    <xdr:to>
      <xdr:col>1</xdr:col>
      <xdr:colOff>7759918</xdr:colOff>
      <xdr:row>6</xdr:row>
      <xdr:rowOff>166100</xdr:rowOff>
    </xdr:to>
    <xdr:sp macro="" textlink="Hide!C53">
      <xdr:nvSpPr>
        <xdr:cNvPr id="18" name="Rectangle 102">
          <a:extLst>
            <a:ext uri="{FF2B5EF4-FFF2-40B4-BE49-F238E27FC236}">
              <a16:creationId xmlns:a16="http://schemas.microsoft.com/office/drawing/2014/main" id="{00000000-0008-0000-0300-000012000000}"/>
            </a:ext>
          </a:extLst>
        </xdr:cNvPr>
        <xdr:cNvSpPr/>
      </xdr:nvSpPr>
      <xdr:spPr>
        <a:xfrm>
          <a:off x="177800" y="1092321"/>
          <a:ext cx="7709118" cy="165979"/>
        </a:xfrm>
        <a:prstGeom prst="rect">
          <a:avLst/>
        </a:prstGeom>
        <a:gradFill flip="none" rotWithShape="1">
          <a:gsLst>
            <a:gs pos="26000">
              <a:srgbClr val="F5AB23"/>
            </a:gs>
            <a:gs pos="5000">
              <a:srgbClr val="DE0A01"/>
            </a:gs>
            <a:gs pos="73000">
              <a:srgbClr val="F5AB23"/>
            </a:gs>
            <a:gs pos="95000">
              <a:srgbClr val="00A76D"/>
            </a:gs>
          </a:gsLst>
          <a:lin ang="0" scaled="1"/>
          <a:tileRect/>
        </a:gradFill>
      </xdr:spPr>
      <xdr:txBody>
        <a:bodyPr wrap="square" anchor="ctr">
          <a:noAutofit/>
        </a:bodyPr>
        <a:lstStyle/>
        <a:p>
          <a:pPr marL="0" indent="0" algn="ctr" defTabSz="914400" rtl="0" eaLnBrk="1" latinLnBrk="0" hangingPunct="1"/>
          <a:fld id="{CD97A5DE-750B-4E5D-9A42-FFA804C90B29}" type="TxLink">
            <a:rPr lang="en-US" sz="1000" b="0" i="0" u="none" strike="noStrike" kern="1200">
              <a:solidFill>
                <a:srgbClr val="000000"/>
              </a:solidFill>
              <a:latin typeface="Ariel"/>
              <a:ea typeface="+mn-ea"/>
              <a:cs typeface="Arial" panose="020B0604020202020204" pitchFamily="34" charset="0"/>
            </a:rPr>
            <a:pPr marL="0" indent="0" algn="ctr" defTabSz="914400" rtl="0" eaLnBrk="1" latinLnBrk="0" hangingPunct="1"/>
            <a:t>Environment: 4</a:t>
          </a:fld>
          <a:endParaRPr lang="en-US" sz="800" b="1" i="0" u="none" strike="noStrike" kern="1200">
            <a:solidFill>
              <a:schemeClr val="accent1">
                <a:lumMod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1</xdr:col>
      <xdr:colOff>50800</xdr:colOff>
      <xdr:row>7</xdr:row>
      <xdr:rowOff>16163</xdr:rowOff>
    </xdr:from>
    <xdr:to>
      <xdr:col>1</xdr:col>
      <xdr:colOff>7759918</xdr:colOff>
      <xdr:row>8</xdr:row>
      <xdr:rowOff>999</xdr:rowOff>
    </xdr:to>
    <xdr:sp macro="" textlink="Hide!C54">
      <xdr:nvSpPr>
        <xdr:cNvPr id="20" name="Rectangle 104">
          <a:extLst>
            <a:ext uri="{FF2B5EF4-FFF2-40B4-BE49-F238E27FC236}">
              <a16:creationId xmlns:a16="http://schemas.microsoft.com/office/drawing/2014/main" id="{00000000-0008-0000-0300-000014000000}"/>
            </a:ext>
          </a:extLst>
        </xdr:cNvPr>
        <xdr:cNvSpPr/>
      </xdr:nvSpPr>
      <xdr:spPr>
        <a:xfrm>
          <a:off x="177800" y="1292513"/>
          <a:ext cx="7709118" cy="168986"/>
        </a:xfrm>
        <a:prstGeom prst="rect">
          <a:avLst/>
        </a:prstGeom>
        <a:gradFill flip="none" rotWithShape="1">
          <a:gsLst>
            <a:gs pos="26000">
              <a:srgbClr val="F5AB23"/>
            </a:gs>
            <a:gs pos="5000">
              <a:srgbClr val="DE0A01"/>
            </a:gs>
            <a:gs pos="73000">
              <a:srgbClr val="F5AB23"/>
            </a:gs>
            <a:gs pos="95000">
              <a:srgbClr val="00A76D"/>
            </a:gs>
          </a:gsLst>
          <a:lin ang="0" scaled="1"/>
          <a:tileRect/>
        </a:gradFill>
      </xdr:spPr>
      <xdr:txBody>
        <a:bodyPr wrap="square" anchor="ctr">
          <a:noAutofit/>
        </a:bodyPr>
        <a:lstStyle/>
        <a:p>
          <a:pPr marL="0" indent="0" algn="ctr" defTabSz="914400" rtl="0" eaLnBrk="1" latinLnBrk="0" hangingPunct="1"/>
          <a:fld id="{CD38CF6A-6DAB-408F-AF62-EAC5701A53D4}" type="TxLink">
            <a:rPr lang="en-US" sz="1000" b="0" i="0" u="none" strike="noStrike" kern="1200">
              <a:solidFill>
                <a:srgbClr val="000000"/>
              </a:solidFill>
              <a:latin typeface="Ariel"/>
              <a:ea typeface="+mn-ea"/>
              <a:cs typeface="Arial" panose="020B0604020202020204" pitchFamily="34" charset="0"/>
            </a:rPr>
            <a:pPr marL="0" indent="0" algn="ctr" defTabSz="914400" rtl="0" eaLnBrk="1" latinLnBrk="0" hangingPunct="1"/>
            <a:t>Financial: 4</a:t>
          </a:fld>
          <a:endParaRPr lang="en-US" sz="800" b="1" i="0" u="none" strike="noStrike" kern="1200">
            <a:solidFill>
              <a:schemeClr val="accent1">
                <a:lumMod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1</xdr:col>
      <xdr:colOff>50800</xdr:colOff>
      <xdr:row>8</xdr:row>
      <xdr:rowOff>41562</xdr:rowOff>
    </xdr:from>
    <xdr:to>
      <xdr:col>1</xdr:col>
      <xdr:colOff>7759918</xdr:colOff>
      <xdr:row>9</xdr:row>
      <xdr:rowOff>23391</xdr:rowOff>
    </xdr:to>
    <xdr:sp macro="" textlink="Hide!C55">
      <xdr:nvSpPr>
        <xdr:cNvPr id="2" name="Rectangle 105">
          <a:extLst>
            <a:ext uri="{FF2B5EF4-FFF2-40B4-BE49-F238E27FC236}">
              <a16:creationId xmlns:a16="http://schemas.microsoft.com/office/drawing/2014/main" id="{00000000-0008-0000-0300-000002000000}"/>
            </a:ext>
          </a:extLst>
        </xdr:cNvPr>
        <xdr:cNvSpPr/>
      </xdr:nvSpPr>
      <xdr:spPr>
        <a:xfrm>
          <a:off x="177800" y="1502062"/>
          <a:ext cx="7709118" cy="165979"/>
        </a:xfrm>
        <a:prstGeom prst="rect">
          <a:avLst/>
        </a:prstGeom>
        <a:gradFill flip="none" rotWithShape="1">
          <a:gsLst>
            <a:gs pos="26000">
              <a:srgbClr val="F5AB23"/>
            </a:gs>
            <a:gs pos="5000">
              <a:srgbClr val="DE0A01"/>
            </a:gs>
            <a:gs pos="73000">
              <a:srgbClr val="F5AB23"/>
            </a:gs>
            <a:gs pos="95000">
              <a:srgbClr val="00A76D"/>
            </a:gs>
          </a:gsLst>
          <a:lin ang="0" scaled="1"/>
          <a:tileRect/>
        </a:gradFill>
      </xdr:spPr>
      <xdr:txBody>
        <a:bodyPr wrap="square" anchor="ctr">
          <a:noAutofit/>
        </a:bodyPr>
        <a:lstStyle/>
        <a:p>
          <a:pPr marL="0" indent="0" algn="ctr" defTabSz="914400" rtl="0" eaLnBrk="1" latinLnBrk="0" hangingPunct="1"/>
          <a:fld id="{D2D23441-8C10-4F30-83BE-C53CE017EEA6}" type="TxLink">
            <a:rPr lang="en-US" sz="1000" b="0" i="0" u="none" strike="noStrike" kern="1200">
              <a:solidFill>
                <a:srgbClr val="000000"/>
              </a:solidFill>
              <a:latin typeface="Ariel"/>
              <a:ea typeface="+mn-ea"/>
              <a:cs typeface="Arial" panose="020B0604020202020204" pitchFamily="34" charset="0"/>
            </a:rPr>
            <a:pPr marL="0" indent="0" algn="ctr" defTabSz="914400" rtl="0" eaLnBrk="1" latinLnBrk="0" hangingPunct="1"/>
            <a:t>People: 4</a:t>
          </a:fld>
          <a:endParaRPr lang="en-US" sz="800" b="1" i="0" u="none" strike="noStrike" kern="1200">
            <a:solidFill>
              <a:schemeClr val="accent1">
                <a:lumMod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1</xdr:col>
      <xdr:colOff>50800</xdr:colOff>
      <xdr:row>9</xdr:row>
      <xdr:rowOff>66962</xdr:rowOff>
    </xdr:from>
    <xdr:to>
      <xdr:col>1</xdr:col>
      <xdr:colOff>7759918</xdr:colOff>
      <xdr:row>10</xdr:row>
      <xdr:rowOff>48791</xdr:rowOff>
    </xdr:to>
    <xdr:sp macro="" textlink="Hide!C56">
      <xdr:nvSpPr>
        <xdr:cNvPr id="4" name="Rectangle 106">
          <a:extLst>
            <a:ext uri="{FF2B5EF4-FFF2-40B4-BE49-F238E27FC236}">
              <a16:creationId xmlns:a16="http://schemas.microsoft.com/office/drawing/2014/main" id="{00000000-0008-0000-0300-000004000000}"/>
            </a:ext>
          </a:extLst>
        </xdr:cNvPr>
        <xdr:cNvSpPr/>
      </xdr:nvSpPr>
      <xdr:spPr>
        <a:xfrm>
          <a:off x="177800" y="1711612"/>
          <a:ext cx="7709118" cy="165979"/>
        </a:xfrm>
        <a:prstGeom prst="rect">
          <a:avLst/>
        </a:prstGeom>
        <a:gradFill flip="none" rotWithShape="1">
          <a:gsLst>
            <a:gs pos="26000">
              <a:srgbClr val="F5AB23"/>
            </a:gs>
            <a:gs pos="5000">
              <a:srgbClr val="DE0A01"/>
            </a:gs>
            <a:gs pos="73000">
              <a:srgbClr val="F5AB23"/>
            </a:gs>
            <a:gs pos="95000">
              <a:srgbClr val="00A76D"/>
            </a:gs>
          </a:gsLst>
          <a:lin ang="0" scaled="1"/>
          <a:tileRect/>
        </a:gradFill>
      </xdr:spPr>
      <xdr:txBody>
        <a:bodyPr wrap="square" anchor="ctr">
          <a:noAutofit/>
        </a:bodyPr>
        <a:lstStyle/>
        <a:p>
          <a:pPr marL="0" indent="0" algn="ctr" defTabSz="914400" rtl="0" eaLnBrk="1" latinLnBrk="0" hangingPunct="1"/>
          <a:fld id="{F1C2ECBC-BF28-4CBE-ADE6-7E42C3A10C86}" type="TxLink">
            <a:rPr lang="en-US" sz="1000" b="0" i="0" u="none" strike="noStrike" kern="1200">
              <a:solidFill>
                <a:srgbClr val="000000"/>
              </a:solidFill>
              <a:latin typeface="Ariel"/>
              <a:ea typeface="+mn-ea"/>
              <a:cs typeface="Arial" panose="020B0604020202020204" pitchFamily="34" charset="0"/>
            </a:rPr>
            <a:pPr marL="0" indent="0" algn="ctr" defTabSz="914400" rtl="0" eaLnBrk="1" latinLnBrk="0" hangingPunct="1"/>
            <a:t>Process: 4.6</a:t>
          </a:fld>
          <a:endParaRPr lang="en-US" sz="800" b="1" i="0" u="none" strike="noStrike" kern="1200">
            <a:solidFill>
              <a:schemeClr val="accent1">
                <a:lumMod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1</xdr:col>
      <xdr:colOff>50800</xdr:colOff>
      <xdr:row>15</xdr:row>
      <xdr:rowOff>164216</xdr:rowOff>
    </xdr:from>
    <xdr:to>
      <xdr:col>1</xdr:col>
      <xdr:colOff>7759918</xdr:colOff>
      <xdr:row>16</xdr:row>
      <xdr:rowOff>146045</xdr:rowOff>
    </xdr:to>
    <xdr:sp macro="" textlink="Hide!C62">
      <xdr:nvSpPr>
        <xdr:cNvPr id="6" name="Rectangle 111">
          <a:extLst>
            <a:ext uri="{FF2B5EF4-FFF2-40B4-BE49-F238E27FC236}">
              <a16:creationId xmlns:a16="http://schemas.microsoft.com/office/drawing/2014/main" id="{00000000-0008-0000-0300-000006000000}"/>
            </a:ext>
          </a:extLst>
        </xdr:cNvPr>
        <xdr:cNvSpPr/>
      </xdr:nvSpPr>
      <xdr:spPr>
        <a:xfrm>
          <a:off x="177800" y="2913766"/>
          <a:ext cx="7709118" cy="165979"/>
        </a:xfrm>
        <a:prstGeom prst="rect">
          <a:avLst/>
        </a:prstGeom>
        <a:gradFill flip="none" rotWithShape="1">
          <a:gsLst>
            <a:gs pos="26000">
              <a:srgbClr val="F5AB23"/>
            </a:gs>
            <a:gs pos="5000">
              <a:srgbClr val="DE0A01"/>
            </a:gs>
            <a:gs pos="73000">
              <a:srgbClr val="F5AB23"/>
            </a:gs>
            <a:gs pos="95000">
              <a:srgbClr val="00A76D"/>
            </a:gs>
          </a:gsLst>
          <a:lin ang="0" scaled="1"/>
          <a:tileRect/>
        </a:gradFill>
      </xdr:spPr>
      <xdr:txBody>
        <a:bodyPr wrap="square" anchor="ctr">
          <a:noAutofit/>
        </a:bodyPr>
        <a:lstStyle/>
        <a:p>
          <a:pPr marL="0" indent="0" algn="ctr" defTabSz="914400" rtl="0" eaLnBrk="1" latinLnBrk="0" hangingPunct="1"/>
          <a:fld id="{BC946EDF-E38A-4B1C-BEAF-94E1AECA78CD}" type="TxLink">
            <a:rPr lang="en-US" sz="1000" b="0" i="0" u="none" strike="noStrike" kern="1200">
              <a:solidFill>
                <a:srgbClr val="000000"/>
              </a:solidFill>
              <a:latin typeface="Ariel"/>
              <a:ea typeface="+mn-ea"/>
              <a:cs typeface="Arial" panose="020B0604020202020204" pitchFamily="34" charset="0"/>
            </a:rPr>
            <a:pPr marL="0" indent="0" algn="ctr" defTabSz="914400" rtl="0" eaLnBrk="1" latinLnBrk="0" hangingPunct="1"/>
            <a:t>Process: 3.5</a:t>
          </a:fld>
          <a:endParaRPr lang="en-US" sz="800" b="1" i="0" u="none" strike="noStrike" kern="1200">
            <a:solidFill>
              <a:schemeClr val="accent1">
                <a:lumMod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1</xdr:col>
      <xdr:colOff>6908800</xdr:colOff>
      <xdr:row>9</xdr:row>
      <xdr:rowOff>55141</xdr:rowOff>
    </xdr:from>
    <xdr:to>
      <xdr:col>1</xdr:col>
      <xdr:colOff>6978650</xdr:colOff>
      <xdr:row>10</xdr:row>
      <xdr:rowOff>53871</xdr:rowOff>
    </xdr:to>
    <xdr:sp macro="" textlink="" fLocksText="0">
      <xdr:nvSpPr>
        <xdr:cNvPr id="27" name="Rectangle 6">
          <a:extLst>
            <a:ext uri="{FF2B5EF4-FFF2-40B4-BE49-F238E27FC236}">
              <a16:creationId xmlns:a16="http://schemas.microsoft.com/office/drawing/2014/main" id="{00000000-0008-0000-0300-00001B000000}"/>
            </a:ext>
          </a:extLst>
        </xdr:cNvPr>
        <xdr:cNvSpPr/>
      </xdr:nvSpPr>
      <xdr:spPr bwMode="gray">
        <a:xfrm>
          <a:off x="7035800" y="1699791"/>
          <a:ext cx="69850" cy="182880"/>
        </a:xfrm>
        <a:prstGeom prst="rect">
          <a:avLst/>
        </a:prstGeom>
        <a:solidFill>
          <a:srgbClr val="BDBDBD">
            <a:alpha val="85000"/>
          </a:srgbClr>
        </a:solidFill>
        <a:ln w="12700" cap="flat" cmpd="sng" algn="ctr">
          <a:solidFill>
            <a:srgbClr val="BDBDBD"/>
          </a:solidFill>
          <a:prstDash val="solid"/>
          <a:round/>
          <a:headEnd type="none" w="med" len="med"/>
          <a:tailEnd type="none" w="med" len="med"/>
        </a:ln>
        <a:effectLst/>
      </xdr:spPr>
      <xdr:txBody>
        <a:bodyPr vert="horz" wrap="square" lIns="91440" tIns="45720" rIns="91440" bIns="45720" numCol="1" rtlCol="0" anchor="ctr" anchorCtr="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indent="0" algn="ctr" defTabSz="914400" rtl="0" eaLnBrk="0" fontAlgn="base" latinLnBrk="0" hangingPunct="0">
            <a:lnSpc>
              <a:spcPct val="100000"/>
            </a:lnSpc>
            <a:spcBef>
              <a:spcPct val="50000"/>
            </a:spcBef>
            <a:spcAft>
              <a:spcPct val="0"/>
            </a:spcAft>
            <a:buClrTx/>
            <a:buSzTx/>
            <a:buFontTx/>
            <a:buNone/>
            <a:tabLst/>
          </a:pPr>
          <a:endParaRPr kumimoji="0" lang="en-US" sz="1200" b="0" i="0" u="none" strike="noStrike" cap="none" normalizeH="0" baseline="0">
            <a:ln>
              <a:noFill/>
            </a:ln>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1</xdr:col>
      <xdr:colOff>5765800</xdr:colOff>
      <xdr:row>5</xdr:row>
      <xdr:rowOff>172450</xdr:rowOff>
    </xdr:from>
    <xdr:to>
      <xdr:col>1</xdr:col>
      <xdr:colOff>5835650</xdr:colOff>
      <xdr:row>6</xdr:row>
      <xdr:rowOff>171180</xdr:rowOff>
    </xdr:to>
    <xdr:sp macro="" textlink="" fLocksText="0">
      <xdr:nvSpPr>
        <xdr:cNvPr id="11" name="Rectangle 3">
          <a:extLst>
            <a:ext uri="{FF2B5EF4-FFF2-40B4-BE49-F238E27FC236}">
              <a16:creationId xmlns:a16="http://schemas.microsoft.com/office/drawing/2014/main" id="{70433A36-B877-40AE-B50E-85B8DFA55E56}"/>
            </a:ext>
          </a:extLst>
        </xdr:cNvPr>
        <xdr:cNvSpPr/>
      </xdr:nvSpPr>
      <xdr:spPr bwMode="gray">
        <a:xfrm>
          <a:off x="5892800" y="1080500"/>
          <a:ext cx="69850" cy="182880"/>
        </a:xfrm>
        <a:prstGeom prst="rect">
          <a:avLst/>
        </a:prstGeom>
        <a:solidFill>
          <a:srgbClr val="BDBDBD">
            <a:alpha val="85000"/>
          </a:srgbClr>
        </a:solidFill>
        <a:ln w="12700" cap="flat" cmpd="sng" algn="ctr">
          <a:solidFill>
            <a:srgbClr val="BDBDBD"/>
          </a:solidFill>
          <a:prstDash val="solid"/>
          <a:round/>
          <a:headEnd type="none" w="med" len="med"/>
          <a:tailEnd type="none" w="med" len="med"/>
        </a:ln>
        <a:effectLst/>
      </xdr:spPr>
      <xdr:txBody>
        <a:bodyPr vert="horz" wrap="square" lIns="91440" tIns="45720" rIns="91440" bIns="45720" numCol="1" rtlCol="0" anchor="ctr" anchorCtr="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indent="0" algn="ctr" defTabSz="914400" rtl="0" eaLnBrk="0" fontAlgn="base" latinLnBrk="0" hangingPunct="0">
            <a:lnSpc>
              <a:spcPct val="100000"/>
            </a:lnSpc>
            <a:spcBef>
              <a:spcPct val="50000"/>
            </a:spcBef>
            <a:spcAft>
              <a:spcPct val="0"/>
            </a:spcAft>
            <a:buClrTx/>
            <a:buSzTx/>
            <a:buFontTx/>
            <a:buNone/>
            <a:tabLst/>
          </a:pPr>
          <a:endParaRPr kumimoji="0" lang="en-US" sz="1200" b="0" i="0" u="none" strike="noStrike" cap="none" normalizeH="0" baseline="0">
            <a:ln>
              <a:noFill/>
            </a:ln>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1</xdr:col>
      <xdr:colOff>5765800</xdr:colOff>
      <xdr:row>7</xdr:row>
      <xdr:rowOff>4342</xdr:rowOff>
    </xdr:from>
    <xdr:to>
      <xdr:col>1</xdr:col>
      <xdr:colOff>5835650</xdr:colOff>
      <xdr:row>8</xdr:row>
      <xdr:rowOff>3071</xdr:rowOff>
    </xdr:to>
    <xdr:sp macro="" textlink="" fLocksText="0">
      <xdr:nvSpPr>
        <xdr:cNvPr id="24" name="Rectangle 4">
          <a:extLst>
            <a:ext uri="{FF2B5EF4-FFF2-40B4-BE49-F238E27FC236}">
              <a16:creationId xmlns:a16="http://schemas.microsoft.com/office/drawing/2014/main" id="{20E6F8D7-EEBA-46E9-9DEE-C456E216677B}"/>
            </a:ext>
          </a:extLst>
        </xdr:cNvPr>
        <xdr:cNvSpPr/>
      </xdr:nvSpPr>
      <xdr:spPr bwMode="gray">
        <a:xfrm>
          <a:off x="5892800" y="1280692"/>
          <a:ext cx="69850" cy="182879"/>
        </a:xfrm>
        <a:prstGeom prst="rect">
          <a:avLst/>
        </a:prstGeom>
        <a:solidFill>
          <a:srgbClr val="BDBDBD">
            <a:alpha val="85000"/>
          </a:srgbClr>
        </a:solidFill>
        <a:ln w="12700" cap="flat" cmpd="sng" algn="ctr">
          <a:solidFill>
            <a:srgbClr val="BDBDBD"/>
          </a:solidFill>
          <a:prstDash val="solid"/>
          <a:round/>
          <a:headEnd type="none" w="med" len="med"/>
          <a:tailEnd type="none" w="med" len="med"/>
        </a:ln>
        <a:effectLst/>
      </xdr:spPr>
      <xdr:txBody>
        <a:bodyPr vert="horz" wrap="square" lIns="91440" tIns="45720" rIns="91440" bIns="45720" numCol="1" rtlCol="0" anchor="ctr" anchorCtr="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indent="0" algn="ctr" defTabSz="914400" rtl="0" eaLnBrk="0" fontAlgn="base" latinLnBrk="0" hangingPunct="0">
            <a:lnSpc>
              <a:spcPct val="100000"/>
            </a:lnSpc>
            <a:spcBef>
              <a:spcPct val="50000"/>
            </a:spcBef>
            <a:spcAft>
              <a:spcPct val="0"/>
            </a:spcAft>
            <a:buClrTx/>
            <a:buSzTx/>
            <a:buFontTx/>
            <a:buNone/>
            <a:tabLst/>
          </a:pPr>
          <a:endParaRPr kumimoji="0" lang="en-US" sz="1200" b="0" i="0" u="none" strike="noStrike" cap="none" normalizeH="0" baseline="0">
            <a:ln>
              <a:noFill/>
            </a:ln>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1</xdr:col>
      <xdr:colOff>5765800</xdr:colOff>
      <xdr:row>8</xdr:row>
      <xdr:rowOff>29741</xdr:rowOff>
    </xdr:from>
    <xdr:to>
      <xdr:col>1</xdr:col>
      <xdr:colOff>5835650</xdr:colOff>
      <xdr:row>9</xdr:row>
      <xdr:rowOff>28471</xdr:rowOff>
    </xdr:to>
    <xdr:sp macro="" textlink="" fLocksText="0">
      <xdr:nvSpPr>
        <xdr:cNvPr id="31" name="Rectangle 5">
          <a:extLst>
            <a:ext uri="{FF2B5EF4-FFF2-40B4-BE49-F238E27FC236}">
              <a16:creationId xmlns:a16="http://schemas.microsoft.com/office/drawing/2014/main" id="{936FF570-E043-440F-99A2-D354A932516A}"/>
            </a:ext>
          </a:extLst>
        </xdr:cNvPr>
        <xdr:cNvSpPr/>
      </xdr:nvSpPr>
      <xdr:spPr bwMode="gray">
        <a:xfrm>
          <a:off x="5892800" y="1490241"/>
          <a:ext cx="69850" cy="182880"/>
        </a:xfrm>
        <a:prstGeom prst="rect">
          <a:avLst/>
        </a:prstGeom>
        <a:solidFill>
          <a:srgbClr val="BDBDBD">
            <a:alpha val="85000"/>
          </a:srgbClr>
        </a:solidFill>
        <a:ln w="12700" cap="flat" cmpd="sng" algn="ctr">
          <a:solidFill>
            <a:srgbClr val="BDBDBD"/>
          </a:solidFill>
          <a:prstDash val="solid"/>
          <a:round/>
          <a:headEnd type="none" w="med" len="med"/>
          <a:tailEnd type="none" w="med" len="med"/>
        </a:ln>
        <a:effectLst/>
      </xdr:spPr>
      <xdr:txBody>
        <a:bodyPr vert="horz" wrap="square" lIns="91440" tIns="45720" rIns="91440" bIns="45720" numCol="1" rtlCol="0" anchor="ctr" anchorCtr="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indent="0" algn="ctr" defTabSz="914400" rtl="0" eaLnBrk="0" fontAlgn="base" latinLnBrk="0" hangingPunct="0">
            <a:lnSpc>
              <a:spcPct val="100000"/>
            </a:lnSpc>
            <a:spcBef>
              <a:spcPct val="50000"/>
            </a:spcBef>
            <a:spcAft>
              <a:spcPct val="0"/>
            </a:spcAft>
            <a:buClrTx/>
            <a:buSzTx/>
            <a:buFontTx/>
            <a:buNone/>
            <a:tabLst/>
          </a:pPr>
          <a:endParaRPr kumimoji="0" lang="en-US" sz="1200" b="0" i="0" u="none" strike="noStrike" cap="none" normalizeH="0" baseline="0">
            <a:ln>
              <a:noFill/>
            </a:ln>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1</xdr:col>
      <xdr:colOff>50800</xdr:colOff>
      <xdr:row>12</xdr:row>
      <xdr:rowOff>73186</xdr:rowOff>
    </xdr:from>
    <xdr:to>
      <xdr:col>1</xdr:col>
      <xdr:colOff>120650</xdr:colOff>
      <xdr:row>13</xdr:row>
      <xdr:rowOff>71916</xdr:rowOff>
    </xdr:to>
    <xdr:sp macro="" textlink="" fLocksText="0">
      <xdr:nvSpPr>
        <xdr:cNvPr id="42" name="Rectangle 7">
          <a:extLst>
            <a:ext uri="{FF2B5EF4-FFF2-40B4-BE49-F238E27FC236}">
              <a16:creationId xmlns:a16="http://schemas.microsoft.com/office/drawing/2014/main" id="{F4D58EBC-CE30-491A-885C-7B242059333B}"/>
            </a:ext>
          </a:extLst>
        </xdr:cNvPr>
        <xdr:cNvSpPr/>
      </xdr:nvSpPr>
      <xdr:spPr bwMode="gray">
        <a:xfrm>
          <a:off x="177800" y="2270286"/>
          <a:ext cx="69850" cy="182880"/>
        </a:xfrm>
        <a:prstGeom prst="rect">
          <a:avLst/>
        </a:prstGeom>
        <a:solidFill>
          <a:srgbClr val="BDBDBD">
            <a:alpha val="85000"/>
          </a:srgbClr>
        </a:solidFill>
        <a:ln w="12700" cap="flat" cmpd="sng" algn="ctr">
          <a:solidFill>
            <a:srgbClr val="BDBDBD"/>
          </a:solidFill>
          <a:prstDash val="solid"/>
          <a:round/>
          <a:headEnd type="none" w="med" len="med"/>
          <a:tailEnd type="none" w="med" len="med"/>
        </a:ln>
        <a:effectLst/>
      </xdr:spPr>
      <xdr:txBody>
        <a:bodyPr vert="horz" wrap="square" lIns="91440" tIns="45720" rIns="91440" bIns="45720" numCol="1" rtlCol="0" anchor="ctr" anchorCtr="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indent="0" algn="ctr" defTabSz="914400" rtl="0" eaLnBrk="0" fontAlgn="base" latinLnBrk="0" hangingPunct="0">
            <a:lnSpc>
              <a:spcPct val="100000"/>
            </a:lnSpc>
            <a:spcBef>
              <a:spcPct val="50000"/>
            </a:spcBef>
            <a:spcAft>
              <a:spcPct val="0"/>
            </a:spcAft>
            <a:buClrTx/>
            <a:buSzTx/>
            <a:buFontTx/>
            <a:buNone/>
            <a:tabLst/>
          </a:pPr>
          <a:endParaRPr kumimoji="0" lang="en-US" sz="1200" b="0" i="0" u="none" strike="noStrike" cap="none" normalizeH="0" baseline="0">
            <a:ln>
              <a:noFill/>
            </a:ln>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1</xdr:col>
      <xdr:colOff>5765800</xdr:colOff>
      <xdr:row>13</xdr:row>
      <xdr:rowOff>98586</xdr:rowOff>
    </xdr:from>
    <xdr:to>
      <xdr:col>1</xdr:col>
      <xdr:colOff>5835650</xdr:colOff>
      <xdr:row>14</xdr:row>
      <xdr:rowOff>97316</xdr:rowOff>
    </xdr:to>
    <xdr:sp macro="" textlink="" fLocksText="0">
      <xdr:nvSpPr>
        <xdr:cNvPr id="43" name="Rectangle 8">
          <a:extLst>
            <a:ext uri="{FF2B5EF4-FFF2-40B4-BE49-F238E27FC236}">
              <a16:creationId xmlns:a16="http://schemas.microsoft.com/office/drawing/2014/main" id="{B94867EE-5CDF-4FA7-839F-756966037139}"/>
            </a:ext>
          </a:extLst>
        </xdr:cNvPr>
        <xdr:cNvSpPr/>
      </xdr:nvSpPr>
      <xdr:spPr bwMode="gray">
        <a:xfrm>
          <a:off x="5892800" y="2479836"/>
          <a:ext cx="69850" cy="182880"/>
        </a:xfrm>
        <a:prstGeom prst="rect">
          <a:avLst/>
        </a:prstGeom>
        <a:solidFill>
          <a:srgbClr val="BDBDBD">
            <a:alpha val="85000"/>
          </a:srgbClr>
        </a:solidFill>
        <a:ln w="12700" cap="flat" cmpd="sng" algn="ctr">
          <a:solidFill>
            <a:srgbClr val="BDBDBD"/>
          </a:solidFill>
          <a:prstDash val="solid"/>
          <a:round/>
          <a:headEnd type="none" w="med" len="med"/>
          <a:tailEnd type="none" w="med" len="med"/>
        </a:ln>
        <a:effectLst/>
      </xdr:spPr>
      <xdr:txBody>
        <a:bodyPr vert="horz" wrap="square" lIns="91440" tIns="45720" rIns="91440" bIns="45720" numCol="1" rtlCol="0" anchor="ctr" anchorCtr="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indent="0" algn="ctr" defTabSz="914400" rtl="0" eaLnBrk="0" fontAlgn="base" latinLnBrk="0" hangingPunct="0">
            <a:lnSpc>
              <a:spcPct val="100000"/>
            </a:lnSpc>
            <a:spcBef>
              <a:spcPct val="50000"/>
            </a:spcBef>
            <a:spcAft>
              <a:spcPct val="0"/>
            </a:spcAft>
            <a:buClrTx/>
            <a:buSzTx/>
            <a:buFontTx/>
            <a:buNone/>
            <a:tabLst/>
          </a:pPr>
          <a:endParaRPr kumimoji="0" lang="en-US" sz="1200" b="0" i="0" u="none" strike="noStrike" cap="none" normalizeH="0" baseline="0">
            <a:ln>
              <a:noFill/>
            </a:ln>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1</xdr:col>
      <xdr:colOff>1193800</xdr:colOff>
      <xdr:row>14</xdr:row>
      <xdr:rowOff>126994</xdr:rowOff>
    </xdr:from>
    <xdr:to>
      <xdr:col>1</xdr:col>
      <xdr:colOff>1263650</xdr:colOff>
      <xdr:row>15</xdr:row>
      <xdr:rowOff>122717</xdr:rowOff>
    </xdr:to>
    <xdr:sp macro="" textlink="" fLocksText="0">
      <xdr:nvSpPr>
        <xdr:cNvPr id="44" name="Rectangle 9">
          <a:extLst>
            <a:ext uri="{FF2B5EF4-FFF2-40B4-BE49-F238E27FC236}">
              <a16:creationId xmlns:a16="http://schemas.microsoft.com/office/drawing/2014/main" id="{96AFB4A0-38C6-4100-9CA8-CCB39611CFA4}"/>
            </a:ext>
          </a:extLst>
        </xdr:cNvPr>
        <xdr:cNvSpPr/>
      </xdr:nvSpPr>
      <xdr:spPr bwMode="gray">
        <a:xfrm>
          <a:off x="1320800" y="2692394"/>
          <a:ext cx="69850" cy="179873"/>
        </a:xfrm>
        <a:prstGeom prst="rect">
          <a:avLst/>
        </a:prstGeom>
        <a:solidFill>
          <a:srgbClr val="BDBDBD">
            <a:alpha val="85000"/>
          </a:srgbClr>
        </a:solidFill>
        <a:ln w="12700" cap="flat" cmpd="sng" algn="ctr">
          <a:solidFill>
            <a:srgbClr val="BDBDBD"/>
          </a:solidFill>
          <a:prstDash val="solid"/>
          <a:round/>
          <a:headEnd type="none" w="med" len="med"/>
          <a:tailEnd type="none" w="med" len="med"/>
        </a:ln>
        <a:effectLst/>
      </xdr:spPr>
      <xdr:txBody>
        <a:bodyPr vert="horz" wrap="square" lIns="91440" tIns="45720" rIns="91440" bIns="45720" numCol="1" rtlCol="0" anchor="ctr" anchorCtr="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indent="0" algn="ctr" defTabSz="914400" rtl="0" eaLnBrk="0" fontAlgn="base" latinLnBrk="0" hangingPunct="0">
            <a:lnSpc>
              <a:spcPct val="100000"/>
            </a:lnSpc>
            <a:spcBef>
              <a:spcPct val="50000"/>
            </a:spcBef>
            <a:spcAft>
              <a:spcPct val="0"/>
            </a:spcAft>
            <a:buClrTx/>
            <a:buSzTx/>
            <a:buFontTx/>
            <a:buNone/>
            <a:tabLst/>
          </a:pPr>
          <a:endParaRPr kumimoji="0" lang="en-US" sz="1200" b="0" i="0" u="none" strike="noStrike" cap="none" normalizeH="0" baseline="0">
            <a:ln>
              <a:noFill/>
            </a:ln>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1</xdr:col>
      <xdr:colOff>4813300</xdr:colOff>
      <xdr:row>15</xdr:row>
      <xdr:rowOff>152395</xdr:rowOff>
    </xdr:from>
    <xdr:to>
      <xdr:col>1</xdr:col>
      <xdr:colOff>4883150</xdr:colOff>
      <xdr:row>16</xdr:row>
      <xdr:rowOff>151125</xdr:rowOff>
    </xdr:to>
    <xdr:sp macro="" textlink="" fLocksText="0">
      <xdr:nvSpPr>
        <xdr:cNvPr id="45" name="Rectangle 10">
          <a:extLst>
            <a:ext uri="{FF2B5EF4-FFF2-40B4-BE49-F238E27FC236}">
              <a16:creationId xmlns:a16="http://schemas.microsoft.com/office/drawing/2014/main" id="{DF8A24AD-E7F4-43E0-9A61-05541B4BCA87}"/>
            </a:ext>
          </a:extLst>
        </xdr:cNvPr>
        <xdr:cNvSpPr/>
      </xdr:nvSpPr>
      <xdr:spPr bwMode="gray">
        <a:xfrm>
          <a:off x="4940300" y="2901945"/>
          <a:ext cx="69850" cy="182880"/>
        </a:xfrm>
        <a:prstGeom prst="rect">
          <a:avLst/>
        </a:prstGeom>
        <a:solidFill>
          <a:srgbClr val="BDBDBD">
            <a:alpha val="85000"/>
          </a:srgbClr>
        </a:solidFill>
        <a:ln w="12700" cap="flat" cmpd="sng" algn="ctr">
          <a:solidFill>
            <a:srgbClr val="BDBDBD"/>
          </a:solidFill>
          <a:prstDash val="solid"/>
          <a:round/>
          <a:headEnd type="none" w="med" len="med"/>
          <a:tailEnd type="none" w="med" len="med"/>
        </a:ln>
        <a:effectLst/>
      </xdr:spPr>
      <xdr:txBody>
        <a:bodyPr vert="horz" wrap="square" lIns="91440" tIns="45720" rIns="91440" bIns="45720" numCol="1" rtlCol="0" anchor="ctr" anchorCtr="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indent="0" algn="ctr" defTabSz="914400" rtl="0" eaLnBrk="0" fontAlgn="base" latinLnBrk="0" hangingPunct="0">
            <a:lnSpc>
              <a:spcPct val="100000"/>
            </a:lnSpc>
            <a:spcBef>
              <a:spcPct val="50000"/>
            </a:spcBef>
            <a:spcAft>
              <a:spcPct val="0"/>
            </a:spcAft>
            <a:buClrTx/>
            <a:buSzTx/>
            <a:buFontTx/>
            <a:buNone/>
            <a:tabLst/>
          </a:pPr>
          <a:endParaRPr kumimoji="0" lang="en-US" sz="1200" b="0" i="0" u="none" strike="noStrike" cap="none" normalizeH="0" baseline="0">
            <a:ln>
              <a:noFill/>
            </a:ln>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1</xdr:col>
      <xdr:colOff>50800</xdr:colOff>
      <xdr:row>19</xdr:row>
      <xdr:rowOff>996</xdr:rowOff>
    </xdr:from>
    <xdr:to>
      <xdr:col>1</xdr:col>
      <xdr:colOff>120650</xdr:colOff>
      <xdr:row>20</xdr:row>
      <xdr:rowOff>2733</xdr:rowOff>
    </xdr:to>
    <xdr:sp macro="" textlink="" fLocksText="0">
      <xdr:nvSpPr>
        <xdr:cNvPr id="46" name="Rectangle 11">
          <a:extLst>
            <a:ext uri="{FF2B5EF4-FFF2-40B4-BE49-F238E27FC236}">
              <a16:creationId xmlns:a16="http://schemas.microsoft.com/office/drawing/2014/main" id="{36990599-3942-48F4-A297-2FD68AEEB1A5}"/>
            </a:ext>
          </a:extLst>
        </xdr:cNvPr>
        <xdr:cNvSpPr/>
      </xdr:nvSpPr>
      <xdr:spPr bwMode="gray">
        <a:xfrm>
          <a:off x="177800" y="3487146"/>
          <a:ext cx="69850" cy="185887"/>
        </a:xfrm>
        <a:prstGeom prst="rect">
          <a:avLst/>
        </a:prstGeom>
        <a:solidFill>
          <a:srgbClr val="BDBDBD">
            <a:alpha val="85000"/>
          </a:srgbClr>
        </a:solidFill>
        <a:ln w="12700" cap="flat" cmpd="sng" algn="ctr">
          <a:solidFill>
            <a:srgbClr val="BDBDBD"/>
          </a:solidFill>
          <a:prstDash val="solid"/>
          <a:round/>
          <a:headEnd type="none" w="med" len="med"/>
          <a:tailEnd type="none" w="med" len="med"/>
        </a:ln>
        <a:effectLst/>
      </xdr:spPr>
      <xdr:txBody>
        <a:bodyPr vert="horz" wrap="square" lIns="91440" tIns="45720" rIns="91440" bIns="45720" numCol="1" rtlCol="0" anchor="ctr" anchorCtr="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indent="0" algn="ctr" defTabSz="914400" rtl="0" eaLnBrk="0" fontAlgn="base" latinLnBrk="0" hangingPunct="0">
            <a:lnSpc>
              <a:spcPct val="100000"/>
            </a:lnSpc>
            <a:spcBef>
              <a:spcPct val="50000"/>
            </a:spcBef>
            <a:spcAft>
              <a:spcPct val="0"/>
            </a:spcAft>
            <a:buClrTx/>
            <a:buSzTx/>
            <a:buFontTx/>
            <a:buNone/>
            <a:tabLst/>
          </a:pPr>
          <a:endParaRPr kumimoji="0" lang="en-US" sz="1200" b="0" i="0" u="none" strike="noStrike" cap="none" normalizeH="0" baseline="0">
            <a:ln>
              <a:noFill/>
            </a:ln>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1</xdr:col>
      <xdr:colOff>1955800</xdr:colOff>
      <xdr:row>20</xdr:row>
      <xdr:rowOff>20045</xdr:rowOff>
    </xdr:from>
    <xdr:to>
      <xdr:col>1</xdr:col>
      <xdr:colOff>2025650</xdr:colOff>
      <xdr:row>21</xdr:row>
      <xdr:rowOff>18775</xdr:rowOff>
    </xdr:to>
    <xdr:sp macro="" textlink="" fLocksText="0">
      <xdr:nvSpPr>
        <xdr:cNvPr id="47" name="Rectangle 12">
          <a:extLst>
            <a:ext uri="{FF2B5EF4-FFF2-40B4-BE49-F238E27FC236}">
              <a16:creationId xmlns:a16="http://schemas.microsoft.com/office/drawing/2014/main" id="{B2C65C8A-7FE0-4E68-88AF-406540847C76}"/>
            </a:ext>
          </a:extLst>
        </xdr:cNvPr>
        <xdr:cNvSpPr/>
      </xdr:nvSpPr>
      <xdr:spPr bwMode="gray">
        <a:xfrm>
          <a:off x="2082800" y="3690345"/>
          <a:ext cx="69850" cy="182880"/>
        </a:xfrm>
        <a:prstGeom prst="rect">
          <a:avLst/>
        </a:prstGeom>
        <a:solidFill>
          <a:srgbClr val="BDBDBD">
            <a:alpha val="85000"/>
          </a:srgbClr>
        </a:solidFill>
        <a:ln w="12700" cap="flat" cmpd="sng" algn="ctr">
          <a:solidFill>
            <a:srgbClr val="BDBDBD"/>
          </a:solidFill>
          <a:prstDash val="solid"/>
          <a:round/>
          <a:headEnd type="none" w="med" len="med"/>
          <a:tailEnd type="none" w="med" len="med"/>
        </a:ln>
        <a:effectLst/>
      </xdr:spPr>
      <xdr:txBody>
        <a:bodyPr vert="horz" wrap="square" lIns="91440" tIns="45720" rIns="91440" bIns="45720" numCol="1" rtlCol="0" anchor="ctr" anchorCtr="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indent="0" algn="ctr" defTabSz="914400" rtl="0" eaLnBrk="0" fontAlgn="base" latinLnBrk="0" hangingPunct="0">
            <a:lnSpc>
              <a:spcPct val="100000"/>
            </a:lnSpc>
            <a:spcBef>
              <a:spcPct val="50000"/>
            </a:spcBef>
            <a:spcAft>
              <a:spcPct val="0"/>
            </a:spcAft>
            <a:buClrTx/>
            <a:buSzTx/>
            <a:buFontTx/>
            <a:buNone/>
            <a:tabLst/>
          </a:pPr>
          <a:endParaRPr kumimoji="0" lang="en-US" sz="1200" b="0" i="0" u="none" strike="noStrike" cap="none" normalizeH="0" baseline="0">
            <a:ln>
              <a:noFill/>
            </a:ln>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1</xdr:col>
      <xdr:colOff>1193800</xdr:colOff>
      <xdr:row>21</xdr:row>
      <xdr:rowOff>39095</xdr:rowOff>
    </xdr:from>
    <xdr:to>
      <xdr:col>1</xdr:col>
      <xdr:colOff>1263650</xdr:colOff>
      <xdr:row>22</xdr:row>
      <xdr:rowOff>37825</xdr:rowOff>
    </xdr:to>
    <xdr:sp macro="" textlink="" fLocksText="0">
      <xdr:nvSpPr>
        <xdr:cNvPr id="48" name="Rectangle 13">
          <a:extLst>
            <a:ext uri="{FF2B5EF4-FFF2-40B4-BE49-F238E27FC236}">
              <a16:creationId xmlns:a16="http://schemas.microsoft.com/office/drawing/2014/main" id="{D1FC8926-1BD1-4309-AA32-12A7944468F7}"/>
            </a:ext>
          </a:extLst>
        </xdr:cNvPr>
        <xdr:cNvSpPr/>
      </xdr:nvSpPr>
      <xdr:spPr bwMode="gray">
        <a:xfrm>
          <a:off x="1320800" y="3893545"/>
          <a:ext cx="69850" cy="182880"/>
        </a:xfrm>
        <a:prstGeom prst="rect">
          <a:avLst/>
        </a:prstGeom>
        <a:solidFill>
          <a:srgbClr val="BDBDBD">
            <a:alpha val="85000"/>
          </a:srgbClr>
        </a:solidFill>
        <a:ln w="12700" cap="flat" cmpd="sng" algn="ctr">
          <a:solidFill>
            <a:srgbClr val="BDBDBD"/>
          </a:solidFill>
          <a:prstDash val="solid"/>
          <a:round/>
          <a:headEnd type="none" w="med" len="med"/>
          <a:tailEnd type="none" w="med" len="med"/>
        </a:ln>
        <a:effectLst/>
      </xdr:spPr>
      <xdr:txBody>
        <a:bodyPr vert="horz" wrap="square" lIns="91440" tIns="45720" rIns="91440" bIns="45720" numCol="1" rtlCol="0" anchor="ctr" anchorCtr="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indent="0" algn="ctr" defTabSz="914400" rtl="0" eaLnBrk="0" fontAlgn="base" latinLnBrk="0" hangingPunct="0">
            <a:lnSpc>
              <a:spcPct val="100000"/>
            </a:lnSpc>
            <a:spcBef>
              <a:spcPct val="50000"/>
            </a:spcBef>
            <a:spcAft>
              <a:spcPct val="0"/>
            </a:spcAft>
            <a:buClrTx/>
            <a:buSzTx/>
            <a:buFontTx/>
            <a:buNone/>
            <a:tabLst/>
          </a:pPr>
          <a:endParaRPr kumimoji="0" lang="en-US" sz="1200" b="0" i="0" u="none" strike="noStrike" cap="none" normalizeH="0" baseline="0">
            <a:ln>
              <a:noFill/>
            </a:ln>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1</xdr:col>
      <xdr:colOff>1384300</xdr:colOff>
      <xdr:row>22</xdr:row>
      <xdr:rowOff>58145</xdr:rowOff>
    </xdr:from>
    <xdr:to>
      <xdr:col>1</xdr:col>
      <xdr:colOff>1454150</xdr:colOff>
      <xdr:row>23</xdr:row>
      <xdr:rowOff>56875</xdr:rowOff>
    </xdr:to>
    <xdr:sp macro="" textlink="" fLocksText="0">
      <xdr:nvSpPr>
        <xdr:cNvPr id="49" name="Rectangle 14">
          <a:extLst>
            <a:ext uri="{FF2B5EF4-FFF2-40B4-BE49-F238E27FC236}">
              <a16:creationId xmlns:a16="http://schemas.microsoft.com/office/drawing/2014/main" id="{35378932-CE03-4A71-838A-BA2D2D6AD9D8}"/>
            </a:ext>
          </a:extLst>
        </xdr:cNvPr>
        <xdr:cNvSpPr/>
      </xdr:nvSpPr>
      <xdr:spPr bwMode="gray">
        <a:xfrm>
          <a:off x="1511300" y="4096745"/>
          <a:ext cx="69850" cy="182880"/>
        </a:xfrm>
        <a:prstGeom prst="rect">
          <a:avLst/>
        </a:prstGeom>
        <a:solidFill>
          <a:srgbClr val="BDBDBD">
            <a:alpha val="85000"/>
          </a:srgbClr>
        </a:solidFill>
        <a:ln w="12700" cap="flat" cmpd="sng" algn="ctr">
          <a:solidFill>
            <a:srgbClr val="BDBDBD"/>
          </a:solidFill>
          <a:prstDash val="solid"/>
          <a:round/>
          <a:headEnd type="none" w="med" len="med"/>
          <a:tailEnd type="none" w="med" len="med"/>
        </a:ln>
        <a:effectLst/>
      </xdr:spPr>
      <xdr:txBody>
        <a:bodyPr vert="horz" wrap="square" lIns="91440" tIns="45720" rIns="91440" bIns="45720" numCol="1" rtlCol="0" anchor="ctr" anchorCtr="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indent="0" algn="ctr" defTabSz="914400" rtl="0" eaLnBrk="0" fontAlgn="base" latinLnBrk="0" hangingPunct="0">
            <a:lnSpc>
              <a:spcPct val="100000"/>
            </a:lnSpc>
            <a:spcBef>
              <a:spcPct val="50000"/>
            </a:spcBef>
            <a:spcAft>
              <a:spcPct val="0"/>
            </a:spcAft>
            <a:buClrTx/>
            <a:buSzTx/>
            <a:buFontTx/>
            <a:buNone/>
            <a:tabLst/>
          </a:pPr>
          <a:endParaRPr kumimoji="0" lang="en-US" sz="1200" b="0" i="0" u="none" strike="noStrike" cap="none" normalizeH="0" baseline="0">
            <a:ln>
              <a:noFill/>
            </a:ln>
            <a:solidFill>
              <a:schemeClr val="bg1"/>
            </a:solidFill>
            <a:effectLst/>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1</xdr:col>
          <xdr:colOff>31750</xdr:colOff>
          <xdr:row>24</xdr:row>
          <xdr:rowOff>12700</xdr:rowOff>
        </xdr:from>
        <xdr:to>
          <xdr:col>1</xdr:col>
          <xdr:colOff>7829550</xdr:colOff>
          <xdr:row>30</xdr:row>
          <xdr:rowOff>38100</xdr:rowOff>
        </xdr:to>
        <xdr:sp macro="" textlink="">
          <xdr:nvSpPr>
            <xdr:cNvPr id="6150" name="Group Box 6" hidden="1">
              <a:extLst>
                <a:ext uri="{63B3BB69-23CF-44E3-9099-C40C66FF867C}">
                  <a14:compatExt spid="_x0000_s6150"/>
                </a:ext>
                <a:ext uri="{FF2B5EF4-FFF2-40B4-BE49-F238E27FC236}">
                  <a16:creationId xmlns:a16="http://schemas.microsoft.com/office/drawing/2014/main" id="{00000000-0008-0000-0200-000006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en-US" sz="800" b="0" i="0" u="none" strike="noStrike" baseline="0">
                  <a:solidFill>
                    <a:srgbClr val="000000"/>
                  </a:solidFill>
                  <a:latin typeface="Segoe UI"/>
                  <a:cs typeface="Segoe UI"/>
                </a:rPr>
                <a:t>Operational Readiness</a:t>
              </a:r>
            </a:p>
          </xdr:txBody>
        </xdr:sp>
        <xdr:clientData/>
      </xdr:twoCellAnchor>
    </mc:Choice>
    <mc:Fallback/>
  </mc:AlternateContent>
  <xdr:twoCellAnchor>
    <xdr:from>
      <xdr:col>1</xdr:col>
      <xdr:colOff>50800</xdr:colOff>
      <xdr:row>25</xdr:row>
      <xdr:rowOff>131130</xdr:rowOff>
    </xdr:from>
    <xdr:to>
      <xdr:col>1</xdr:col>
      <xdr:colOff>7759918</xdr:colOff>
      <xdr:row>26</xdr:row>
      <xdr:rowOff>112958</xdr:rowOff>
    </xdr:to>
    <xdr:sp macro="" textlink="Hide!C71">
      <xdr:nvSpPr>
        <xdr:cNvPr id="19" name="Rectangle 116">
          <a:extLst>
            <a:ext uri="{FF2B5EF4-FFF2-40B4-BE49-F238E27FC236}">
              <a16:creationId xmlns:a16="http://schemas.microsoft.com/office/drawing/2014/main" id="{4EDAD720-E42B-443A-BB57-2DB7C86C8A3F}"/>
            </a:ext>
          </a:extLst>
        </xdr:cNvPr>
        <xdr:cNvSpPr/>
      </xdr:nvSpPr>
      <xdr:spPr>
        <a:xfrm>
          <a:off x="177800" y="4722180"/>
          <a:ext cx="7709118" cy="165978"/>
        </a:xfrm>
        <a:prstGeom prst="rect">
          <a:avLst/>
        </a:prstGeom>
        <a:gradFill flip="none" rotWithShape="1">
          <a:gsLst>
            <a:gs pos="26000">
              <a:srgbClr val="F5AB23"/>
            </a:gs>
            <a:gs pos="5000">
              <a:srgbClr val="DE0A01"/>
            </a:gs>
            <a:gs pos="73000">
              <a:srgbClr val="F5AB23"/>
            </a:gs>
            <a:gs pos="95000">
              <a:srgbClr val="00A76D"/>
            </a:gs>
          </a:gsLst>
          <a:lin ang="0" scaled="1"/>
          <a:tileRect/>
        </a:gradFill>
      </xdr:spPr>
      <xdr:txBody>
        <a:bodyPr wrap="square" anchor="ctr">
          <a:noAutofit/>
        </a:bodyPr>
        <a:lstStyle/>
        <a:p>
          <a:pPr marL="0" indent="0" algn="ctr" defTabSz="914400" rtl="0" eaLnBrk="1" latinLnBrk="0" hangingPunct="1"/>
          <a:fld id="{7534894A-9373-4A1F-A7D4-1AE3ECE39E10}" type="TxLink">
            <a:rPr lang="en-US" sz="1000" b="0" i="0" u="none" strike="noStrike" kern="1200">
              <a:solidFill>
                <a:srgbClr val="000000"/>
              </a:solidFill>
              <a:latin typeface="Ariel"/>
              <a:ea typeface="+mn-ea"/>
              <a:cs typeface="Arial" panose="020B0604020202020204" pitchFamily="34" charset="0"/>
            </a:rPr>
            <a:pPr marL="0" indent="0" algn="ctr" defTabSz="914400" rtl="0" eaLnBrk="1" latinLnBrk="0" hangingPunct="1"/>
            <a:t>Environment: 5</a:t>
          </a:fld>
          <a:endParaRPr lang="en-US" sz="800" b="1" i="0" u="none" strike="noStrike" kern="1200">
            <a:solidFill>
              <a:schemeClr val="accent1">
                <a:lumMod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1</xdr:col>
      <xdr:colOff>50800</xdr:colOff>
      <xdr:row>26</xdr:row>
      <xdr:rowOff>150179</xdr:rowOff>
    </xdr:from>
    <xdr:to>
      <xdr:col>1</xdr:col>
      <xdr:colOff>7759918</xdr:colOff>
      <xdr:row>27</xdr:row>
      <xdr:rowOff>132008</xdr:rowOff>
    </xdr:to>
    <xdr:sp macro="" textlink="Hide!C72">
      <xdr:nvSpPr>
        <xdr:cNvPr id="21" name="Rectangle 117">
          <a:extLst>
            <a:ext uri="{FF2B5EF4-FFF2-40B4-BE49-F238E27FC236}">
              <a16:creationId xmlns:a16="http://schemas.microsoft.com/office/drawing/2014/main" id="{F4D11912-D534-47A6-BDA3-0FAC8A2C1CED}"/>
            </a:ext>
          </a:extLst>
        </xdr:cNvPr>
        <xdr:cNvSpPr/>
      </xdr:nvSpPr>
      <xdr:spPr>
        <a:xfrm>
          <a:off x="177800" y="4925379"/>
          <a:ext cx="7709118" cy="165979"/>
        </a:xfrm>
        <a:prstGeom prst="rect">
          <a:avLst/>
        </a:prstGeom>
        <a:gradFill flip="none" rotWithShape="1">
          <a:gsLst>
            <a:gs pos="26000">
              <a:srgbClr val="F5AB23"/>
            </a:gs>
            <a:gs pos="5000">
              <a:srgbClr val="DE0A01"/>
            </a:gs>
            <a:gs pos="73000">
              <a:srgbClr val="F5AB23"/>
            </a:gs>
            <a:gs pos="95000">
              <a:srgbClr val="00A76D"/>
            </a:gs>
          </a:gsLst>
          <a:lin ang="0" scaled="1"/>
          <a:tileRect/>
        </a:gradFill>
      </xdr:spPr>
      <xdr:txBody>
        <a:bodyPr wrap="square" anchor="ctr">
          <a:noAutofit/>
        </a:bodyPr>
        <a:lstStyle/>
        <a:p>
          <a:pPr marL="0" indent="0" algn="ctr" defTabSz="914400" rtl="0" eaLnBrk="1" latinLnBrk="0" hangingPunct="1"/>
          <a:fld id="{DE475B53-58E9-4B77-A365-71676C969365}" type="TxLink">
            <a:rPr lang="en-US" sz="1000" b="0" i="0" u="none" strike="noStrike" kern="1200">
              <a:solidFill>
                <a:srgbClr val="000000"/>
              </a:solidFill>
              <a:latin typeface="Ariel"/>
              <a:ea typeface="+mn-ea"/>
              <a:cs typeface="Arial" panose="020B0604020202020204" pitchFamily="34" charset="0"/>
            </a:rPr>
            <a:pPr marL="0" indent="0" algn="ctr" defTabSz="914400" rtl="0" eaLnBrk="1" latinLnBrk="0" hangingPunct="1"/>
            <a:t>Financial: 3</a:t>
          </a:fld>
          <a:endParaRPr lang="en-US" sz="800" b="1" i="0" u="none" strike="noStrike" kern="1200">
            <a:solidFill>
              <a:schemeClr val="accent1">
                <a:lumMod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1</xdr:col>
      <xdr:colOff>50800</xdr:colOff>
      <xdr:row>27</xdr:row>
      <xdr:rowOff>169229</xdr:rowOff>
    </xdr:from>
    <xdr:to>
      <xdr:col>1</xdr:col>
      <xdr:colOff>7759918</xdr:colOff>
      <xdr:row>28</xdr:row>
      <xdr:rowOff>151058</xdr:rowOff>
    </xdr:to>
    <xdr:sp macro="" textlink="Hide!C73">
      <xdr:nvSpPr>
        <xdr:cNvPr id="25" name="Rectangle 119">
          <a:extLst>
            <a:ext uri="{FF2B5EF4-FFF2-40B4-BE49-F238E27FC236}">
              <a16:creationId xmlns:a16="http://schemas.microsoft.com/office/drawing/2014/main" id="{352D1AB1-08FF-42D6-A770-11151C6E3EA3}"/>
            </a:ext>
          </a:extLst>
        </xdr:cNvPr>
        <xdr:cNvSpPr/>
      </xdr:nvSpPr>
      <xdr:spPr>
        <a:xfrm>
          <a:off x="177800" y="5128579"/>
          <a:ext cx="7709118" cy="165979"/>
        </a:xfrm>
        <a:prstGeom prst="rect">
          <a:avLst/>
        </a:prstGeom>
        <a:gradFill flip="none" rotWithShape="1">
          <a:gsLst>
            <a:gs pos="26000">
              <a:srgbClr val="F5AB23"/>
            </a:gs>
            <a:gs pos="5000">
              <a:srgbClr val="DE0A01"/>
            </a:gs>
            <a:gs pos="73000">
              <a:srgbClr val="F5AB23"/>
            </a:gs>
            <a:gs pos="95000">
              <a:srgbClr val="00A76D"/>
            </a:gs>
          </a:gsLst>
          <a:lin ang="0" scaled="1"/>
          <a:tileRect/>
        </a:gradFill>
      </xdr:spPr>
      <xdr:txBody>
        <a:bodyPr wrap="square" anchor="ctr">
          <a:noAutofit/>
        </a:bodyPr>
        <a:lstStyle/>
        <a:p>
          <a:pPr marL="0" indent="0" algn="ctr" defTabSz="914400" rtl="0" eaLnBrk="1" latinLnBrk="0" hangingPunct="1"/>
          <a:fld id="{27CFB2B0-1CFB-4E03-9280-1FBD7E8A0ACC}" type="TxLink">
            <a:rPr lang="en-US" sz="1000" b="0" i="0" u="none" strike="noStrike" kern="1200">
              <a:solidFill>
                <a:srgbClr val="000000"/>
              </a:solidFill>
              <a:latin typeface="Ariel"/>
              <a:ea typeface="+mn-ea"/>
              <a:cs typeface="Arial" panose="020B0604020202020204" pitchFamily="34" charset="0"/>
            </a:rPr>
            <a:pPr marL="0" indent="0" algn="ctr" defTabSz="914400" rtl="0" eaLnBrk="1" latinLnBrk="0" hangingPunct="1"/>
            <a:t>People: 3</a:t>
          </a:fld>
          <a:endParaRPr lang="en-US" sz="800" b="1" i="0" u="none" strike="noStrike" kern="1200">
            <a:solidFill>
              <a:schemeClr val="accent1">
                <a:lumMod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1</xdr:col>
      <xdr:colOff>50800</xdr:colOff>
      <xdr:row>29</xdr:row>
      <xdr:rowOff>1121</xdr:rowOff>
    </xdr:from>
    <xdr:to>
      <xdr:col>1</xdr:col>
      <xdr:colOff>7759918</xdr:colOff>
      <xdr:row>29</xdr:row>
      <xdr:rowOff>170108</xdr:rowOff>
    </xdr:to>
    <xdr:sp macro="" textlink="Hide!C74">
      <xdr:nvSpPr>
        <xdr:cNvPr id="26" name="Rectangle 120">
          <a:extLst>
            <a:ext uri="{FF2B5EF4-FFF2-40B4-BE49-F238E27FC236}">
              <a16:creationId xmlns:a16="http://schemas.microsoft.com/office/drawing/2014/main" id="{2AE79FCE-986D-4184-8558-B1F987066F07}"/>
            </a:ext>
          </a:extLst>
        </xdr:cNvPr>
        <xdr:cNvSpPr/>
      </xdr:nvSpPr>
      <xdr:spPr>
        <a:xfrm>
          <a:off x="177800" y="5328771"/>
          <a:ext cx="7709118" cy="168987"/>
        </a:xfrm>
        <a:prstGeom prst="rect">
          <a:avLst/>
        </a:prstGeom>
        <a:gradFill flip="none" rotWithShape="1">
          <a:gsLst>
            <a:gs pos="26000">
              <a:srgbClr val="F5AB23"/>
            </a:gs>
            <a:gs pos="5000">
              <a:srgbClr val="DE0A01"/>
            </a:gs>
            <a:gs pos="73000">
              <a:srgbClr val="F5AB23"/>
            </a:gs>
            <a:gs pos="95000">
              <a:srgbClr val="00A76D"/>
            </a:gs>
          </a:gsLst>
          <a:lin ang="0" scaled="1"/>
          <a:tileRect/>
        </a:gradFill>
      </xdr:spPr>
      <xdr:txBody>
        <a:bodyPr wrap="square" anchor="ctr">
          <a:noAutofit/>
        </a:bodyPr>
        <a:lstStyle/>
        <a:p>
          <a:pPr marL="0" indent="0" algn="ctr" defTabSz="914400" rtl="0" eaLnBrk="1" latinLnBrk="0" hangingPunct="1"/>
          <a:fld id="{E68F097D-FD12-443E-86BB-48BBD9357FAB}" type="TxLink">
            <a:rPr lang="en-US" sz="1000" b="0" i="0" u="none" strike="noStrike" kern="1200" baseline="0">
              <a:solidFill>
                <a:srgbClr val="000000"/>
              </a:solidFill>
              <a:latin typeface="Ariel"/>
              <a:ea typeface="+mn-ea"/>
              <a:cs typeface="Arial" panose="020B0604020202020204" pitchFamily="34" charset="0"/>
            </a:rPr>
            <a:pPr marL="0" indent="0" algn="ctr" defTabSz="914400" rtl="0" eaLnBrk="1" latinLnBrk="0" hangingPunct="1"/>
            <a:t>Process: 3.2</a:t>
          </a:fld>
          <a:endParaRPr lang="en-US" sz="800" b="1" i="0" u="none" strike="noStrike" kern="1200">
            <a:solidFill>
              <a:schemeClr val="accent1">
                <a:lumMod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1</xdr:col>
      <xdr:colOff>7670800</xdr:colOff>
      <xdr:row>25</xdr:row>
      <xdr:rowOff>119309</xdr:rowOff>
    </xdr:from>
    <xdr:to>
      <xdr:col>1</xdr:col>
      <xdr:colOff>7740650</xdr:colOff>
      <xdr:row>26</xdr:row>
      <xdr:rowOff>118038</xdr:rowOff>
    </xdr:to>
    <xdr:sp macro="" textlink="" fLocksText="0">
      <xdr:nvSpPr>
        <xdr:cNvPr id="28" name="Rectangle 15">
          <a:extLst>
            <a:ext uri="{FF2B5EF4-FFF2-40B4-BE49-F238E27FC236}">
              <a16:creationId xmlns:a16="http://schemas.microsoft.com/office/drawing/2014/main" id="{AF0DD7FA-55E1-4088-B144-07110D1DB0E4}"/>
            </a:ext>
          </a:extLst>
        </xdr:cNvPr>
        <xdr:cNvSpPr/>
      </xdr:nvSpPr>
      <xdr:spPr bwMode="gray">
        <a:xfrm>
          <a:off x="7797800" y="4710359"/>
          <a:ext cx="69850" cy="182879"/>
        </a:xfrm>
        <a:prstGeom prst="rect">
          <a:avLst/>
        </a:prstGeom>
        <a:solidFill>
          <a:srgbClr val="BDBDBD">
            <a:alpha val="85000"/>
          </a:srgbClr>
        </a:solidFill>
        <a:ln w="12700" cap="flat" cmpd="sng" algn="ctr">
          <a:solidFill>
            <a:srgbClr val="BDBDBD"/>
          </a:solidFill>
          <a:prstDash val="solid"/>
          <a:round/>
          <a:headEnd type="none" w="med" len="med"/>
          <a:tailEnd type="none" w="med" len="med"/>
        </a:ln>
        <a:effectLst/>
      </xdr:spPr>
      <xdr:txBody>
        <a:bodyPr vert="horz" wrap="square" lIns="91440" tIns="45720" rIns="91440" bIns="45720" numCol="1" rtlCol="0" anchor="ctr" anchorCtr="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indent="0" algn="ctr" defTabSz="914400" rtl="0" eaLnBrk="0" fontAlgn="base" latinLnBrk="0" hangingPunct="0">
            <a:lnSpc>
              <a:spcPct val="100000"/>
            </a:lnSpc>
            <a:spcBef>
              <a:spcPct val="50000"/>
            </a:spcBef>
            <a:spcAft>
              <a:spcPct val="0"/>
            </a:spcAft>
            <a:buClrTx/>
            <a:buSzTx/>
            <a:buFontTx/>
            <a:buNone/>
            <a:tabLst/>
          </a:pPr>
          <a:endParaRPr kumimoji="0" lang="en-US" sz="1200" b="0" i="0" u="none" strike="noStrike" cap="none" normalizeH="0" baseline="0">
            <a:ln>
              <a:noFill/>
            </a:ln>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1</xdr:col>
      <xdr:colOff>3860800</xdr:colOff>
      <xdr:row>26</xdr:row>
      <xdr:rowOff>138358</xdr:rowOff>
    </xdr:from>
    <xdr:to>
      <xdr:col>1</xdr:col>
      <xdr:colOff>3930650</xdr:colOff>
      <xdr:row>27</xdr:row>
      <xdr:rowOff>137088</xdr:rowOff>
    </xdr:to>
    <xdr:sp macro="" textlink="" fLocksText="0">
      <xdr:nvSpPr>
        <xdr:cNvPr id="29" name="Rectangle 16">
          <a:extLst>
            <a:ext uri="{FF2B5EF4-FFF2-40B4-BE49-F238E27FC236}">
              <a16:creationId xmlns:a16="http://schemas.microsoft.com/office/drawing/2014/main" id="{5D419E43-F90D-4DDB-B708-D7C62D27A2E1}"/>
            </a:ext>
          </a:extLst>
        </xdr:cNvPr>
        <xdr:cNvSpPr/>
      </xdr:nvSpPr>
      <xdr:spPr bwMode="gray">
        <a:xfrm>
          <a:off x="3987800" y="4913558"/>
          <a:ext cx="69850" cy="182880"/>
        </a:xfrm>
        <a:prstGeom prst="rect">
          <a:avLst/>
        </a:prstGeom>
        <a:solidFill>
          <a:srgbClr val="BDBDBD">
            <a:alpha val="85000"/>
          </a:srgbClr>
        </a:solidFill>
        <a:ln w="12700" cap="flat" cmpd="sng" algn="ctr">
          <a:solidFill>
            <a:srgbClr val="BDBDBD"/>
          </a:solidFill>
          <a:prstDash val="solid"/>
          <a:round/>
          <a:headEnd type="none" w="med" len="med"/>
          <a:tailEnd type="none" w="med" len="med"/>
        </a:ln>
        <a:effectLst/>
      </xdr:spPr>
      <xdr:txBody>
        <a:bodyPr vert="horz" wrap="square" lIns="91440" tIns="45720" rIns="91440" bIns="45720" numCol="1" rtlCol="0" anchor="ctr" anchorCtr="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indent="0" algn="ctr" defTabSz="914400" rtl="0" eaLnBrk="0" fontAlgn="base" latinLnBrk="0" hangingPunct="0">
            <a:lnSpc>
              <a:spcPct val="100000"/>
            </a:lnSpc>
            <a:spcBef>
              <a:spcPct val="50000"/>
            </a:spcBef>
            <a:spcAft>
              <a:spcPct val="0"/>
            </a:spcAft>
            <a:buClrTx/>
            <a:buSzTx/>
            <a:buFontTx/>
            <a:buNone/>
            <a:tabLst/>
          </a:pPr>
          <a:endParaRPr kumimoji="0" lang="en-US" sz="1200" b="0" i="0" u="none" strike="noStrike" cap="none" normalizeH="0" baseline="0">
            <a:ln>
              <a:noFill/>
            </a:ln>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1</xdr:col>
      <xdr:colOff>3860800</xdr:colOff>
      <xdr:row>27</xdr:row>
      <xdr:rowOff>157408</xdr:rowOff>
    </xdr:from>
    <xdr:to>
      <xdr:col>1</xdr:col>
      <xdr:colOff>3930650</xdr:colOff>
      <xdr:row>28</xdr:row>
      <xdr:rowOff>156138</xdr:rowOff>
    </xdr:to>
    <xdr:sp macro="" textlink="" fLocksText="0">
      <xdr:nvSpPr>
        <xdr:cNvPr id="30" name="Rectangle 17">
          <a:extLst>
            <a:ext uri="{FF2B5EF4-FFF2-40B4-BE49-F238E27FC236}">
              <a16:creationId xmlns:a16="http://schemas.microsoft.com/office/drawing/2014/main" id="{4299883F-4AF9-417B-AA12-0F31EE5D3FA7}"/>
            </a:ext>
          </a:extLst>
        </xdr:cNvPr>
        <xdr:cNvSpPr/>
      </xdr:nvSpPr>
      <xdr:spPr bwMode="gray">
        <a:xfrm>
          <a:off x="3987800" y="5116758"/>
          <a:ext cx="69850" cy="182880"/>
        </a:xfrm>
        <a:prstGeom prst="rect">
          <a:avLst/>
        </a:prstGeom>
        <a:solidFill>
          <a:srgbClr val="BDBDBD">
            <a:alpha val="85000"/>
          </a:srgbClr>
        </a:solidFill>
        <a:ln w="12700" cap="flat" cmpd="sng" algn="ctr">
          <a:solidFill>
            <a:srgbClr val="BDBDBD"/>
          </a:solidFill>
          <a:prstDash val="solid"/>
          <a:round/>
          <a:headEnd type="none" w="med" len="med"/>
          <a:tailEnd type="none" w="med" len="med"/>
        </a:ln>
        <a:effectLst/>
      </xdr:spPr>
      <xdr:txBody>
        <a:bodyPr vert="horz" wrap="square" lIns="91440" tIns="45720" rIns="91440" bIns="45720" numCol="1" rtlCol="0" anchor="ctr" anchorCtr="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indent="0" algn="ctr" defTabSz="914400" rtl="0" eaLnBrk="0" fontAlgn="base" latinLnBrk="0" hangingPunct="0">
            <a:lnSpc>
              <a:spcPct val="100000"/>
            </a:lnSpc>
            <a:spcBef>
              <a:spcPct val="50000"/>
            </a:spcBef>
            <a:spcAft>
              <a:spcPct val="0"/>
            </a:spcAft>
            <a:buClrTx/>
            <a:buSzTx/>
            <a:buFontTx/>
            <a:buNone/>
            <a:tabLst/>
          </a:pPr>
          <a:endParaRPr kumimoji="0" lang="en-US" sz="1200" b="0" i="0" u="none" strike="noStrike" cap="none" normalizeH="0" baseline="0">
            <a:ln>
              <a:noFill/>
            </a:ln>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1</xdr:col>
      <xdr:colOff>4241800</xdr:colOff>
      <xdr:row>28</xdr:row>
      <xdr:rowOff>176458</xdr:rowOff>
    </xdr:from>
    <xdr:to>
      <xdr:col>1</xdr:col>
      <xdr:colOff>4311650</xdr:colOff>
      <xdr:row>29</xdr:row>
      <xdr:rowOff>175188</xdr:rowOff>
    </xdr:to>
    <xdr:sp macro="" textlink="" fLocksText="0">
      <xdr:nvSpPr>
        <xdr:cNvPr id="32" name="Rectangle 18">
          <a:extLst>
            <a:ext uri="{FF2B5EF4-FFF2-40B4-BE49-F238E27FC236}">
              <a16:creationId xmlns:a16="http://schemas.microsoft.com/office/drawing/2014/main" id="{453C3241-3362-4AA1-A430-BC48AFCB1B41}"/>
            </a:ext>
          </a:extLst>
        </xdr:cNvPr>
        <xdr:cNvSpPr/>
      </xdr:nvSpPr>
      <xdr:spPr bwMode="gray">
        <a:xfrm>
          <a:off x="4368800" y="5319958"/>
          <a:ext cx="69850" cy="182880"/>
        </a:xfrm>
        <a:prstGeom prst="rect">
          <a:avLst/>
        </a:prstGeom>
        <a:solidFill>
          <a:srgbClr val="BDBDBD">
            <a:alpha val="85000"/>
          </a:srgbClr>
        </a:solidFill>
        <a:ln w="12700" cap="flat" cmpd="sng" algn="ctr">
          <a:solidFill>
            <a:srgbClr val="BDBDBD"/>
          </a:solidFill>
          <a:prstDash val="solid"/>
          <a:round/>
          <a:headEnd type="none" w="med" len="med"/>
          <a:tailEnd type="none" w="med" len="med"/>
        </a:ln>
        <a:effectLst/>
      </xdr:spPr>
      <xdr:txBody>
        <a:bodyPr vert="horz" wrap="square" lIns="91440" tIns="45720" rIns="91440" bIns="45720" numCol="1" rtlCol="0" anchor="ctr" anchorCtr="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indent="0" algn="ctr" defTabSz="914400" rtl="0" eaLnBrk="0" fontAlgn="base" latinLnBrk="0" hangingPunct="0">
            <a:lnSpc>
              <a:spcPct val="100000"/>
            </a:lnSpc>
            <a:spcBef>
              <a:spcPct val="50000"/>
            </a:spcBef>
            <a:spcAft>
              <a:spcPct val="0"/>
            </a:spcAft>
            <a:buClrTx/>
            <a:buSzTx/>
            <a:buFontTx/>
            <a:buNone/>
            <a:tabLst/>
          </a:pPr>
          <a:endParaRPr kumimoji="0" lang="en-US" sz="1200" b="0" i="0" u="none" strike="noStrike" cap="none" normalizeH="0" baseline="0">
            <a:ln>
              <a:noFill/>
            </a:ln>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1</xdr:col>
      <xdr:colOff>2679029</xdr:colOff>
      <xdr:row>17</xdr:row>
      <xdr:rowOff>160423</xdr:rowOff>
    </xdr:from>
    <xdr:to>
      <xdr:col>1</xdr:col>
      <xdr:colOff>5193629</xdr:colOff>
      <xdr:row>18</xdr:row>
      <xdr:rowOff>153740</xdr:rowOff>
    </xdr:to>
    <xdr:sp macro="" textlink="Hide!C79">
      <xdr:nvSpPr>
        <xdr:cNvPr id="33" name="Rectangle 502">
          <a:extLst>
            <a:ext uri="{FF2B5EF4-FFF2-40B4-BE49-F238E27FC236}">
              <a16:creationId xmlns:a16="http://schemas.microsoft.com/office/drawing/2014/main" id="{9A60C838-0636-443A-B6D1-F195EE10F2FE}"/>
            </a:ext>
          </a:extLst>
        </xdr:cNvPr>
        <xdr:cNvSpPr/>
      </xdr:nvSpPr>
      <xdr:spPr>
        <a:xfrm>
          <a:off x="2806029" y="3322055"/>
          <a:ext cx="2514600" cy="180474"/>
        </a:xfrm>
        <a:prstGeom prst="rect">
          <a:avLst/>
        </a:prstGeom>
        <a:solidFill>
          <a:srgbClr val="DE0A01"/>
        </a:solidFill>
      </xdr:spPr>
      <xdr:txBody>
        <a:bodyPr wrap="square" anchor="ctr">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ctr" defTabSz="914400" rtl="0" eaLnBrk="1" latinLnBrk="0" hangingPunct="1"/>
          <a:fld id="{98AD2DE3-2130-4239-B9A1-45941A2E5A6A}" type="TxLink">
            <a:rPr lang="en-US" sz="1000" b="0" i="0" u="none" strike="noStrike" kern="1200" baseline="0">
              <a:solidFill>
                <a:srgbClr val="FFFFFF"/>
              </a:solidFill>
              <a:latin typeface="Ariel"/>
              <a:ea typeface="+mn-ea"/>
              <a:cs typeface="Arial" panose="020B0604020202020204" pitchFamily="34" charset="0"/>
            </a:rPr>
            <a:pPr marL="0" indent="0" algn="ctr" defTabSz="914400" rtl="0" eaLnBrk="1" latinLnBrk="0" hangingPunct="1"/>
            <a:t>Overall Technical Readiness Score: 1.6</a:t>
          </a:fld>
          <a:endParaRPr lang="en-US" sz="800" b="1" kern="1200">
            <a:solidFill>
              <a:srgbClr val="FFFFFF"/>
            </a:solidFill>
            <a:latin typeface="Arial" panose="020B0604020202020204" pitchFamily="34" charset="0"/>
            <a:ea typeface="+mn-ea"/>
            <a:cs typeface="Arial" panose="020B0604020202020204" pitchFamily="34" charset="0"/>
          </a:endParaRPr>
        </a:p>
      </xdr:txBody>
    </xdr:sp>
    <xdr:clientData/>
  </xdr:twoCellAnchor>
  <xdr:twoCellAnchor>
    <xdr:from>
      <xdr:col>1</xdr:col>
      <xdr:colOff>2680372</xdr:colOff>
      <xdr:row>24</xdr:row>
      <xdr:rowOff>66842</xdr:rowOff>
    </xdr:from>
    <xdr:to>
      <xdr:col>1</xdr:col>
      <xdr:colOff>5194972</xdr:colOff>
      <xdr:row>25</xdr:row>
      <xdr:rowOff>62564</xdr:rowOff>
    </xdr:to>
    <xdr:sp macro="" textlink="Hide!C80">
      <xdr:nvSpPr>
        <xdr:cNvPr id="34" name="Rectangle 503">
          <a:extLst>
            <a:ext uri="{FF2B5EF4-FFF2-40B4-BE49-F238E27FC236}">
              <a16:creationId xmlns:a16="http://schemas.microsoft.com/office/drawing/2014/main" id="{151A71C0-FE4B-4801-9AE1-989A78216974}"/>
            </a:ext>
          </a:extLst>
        </xdr:cNvPr>
        <xdr:cNvSpPr/>
      </xdr:nvSpPr>
      <xdr:spPr>
        <a:xfrm>
          <a:off x="2807372" y="4538579"/>
          <a:ext cx="2514600" cy="182880"/>
        </a:xfrm>
        <a:prstGeom prst="rect">
          <a:avLst/>
        </a:prstGeom>
        <a:solidFill>
          <a:srgbClr val="F5AB23"/>
        </a:solidFill>
      </xdr:spPr>
      <xdr:txBody>
        <a:bodyPr wrap="square" anchor="ctr">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ctr" defTabSz="914400" rtl="0" eaLnBrk="1" latinLnBrk="0" hangingPunct="1"/>
          <a:fld id="{BBF6AF53-9F68-4D05-B7D1-51F9D8460C1F}" type="TxLink">
            <a:rPr lang="en-US" sz="1000" b="0" i="0" u="none" strike="noStrike" kern="1200" baseline="0">
              <a:solidFill>
                <a:srgbClr val="000000"/>
              </a:solidFill>
              <a:latin typeface="Ariel"/>
              <a:ea typeface="+mn-ea"/>
              <a:cs typeface="Arial" panose="020B0604020202020204" pitchFamily="34" charset="0"/>
            </a:rPr>
            <a:pPr marL="0" indent="0" algn="ctr" defTabSz="914400" rtl="0" eaLnBrk="1" latinLnBrk="0" hangingPunct="1"/>
            <a:t>Overall Operational Readiness Score: 3.56</a:t>
          </a:fld>
          <a:endParaRPr lang="en-US" sz="800" b="1" kern="1200">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2</xdr:col>
      <xdr:colOff>0</xdr:colOff>
      <xdr:row>14</xdr:row>
      <xdr:rowOff>157745</xdr:rowOff>
    </xdr:from>
    <xdr:to>
      <xdr:col>2</xdr:col>
      <xdr:colOff>0</xdr:colOff>
      <xdr:row>22</xdr:row>
      <xdr:rowOff>44114</xdr:rowOff>
    </xdr:to>
    <xdr:sp macro="" textlink="">
      <xdr:nvSpPr>
        <xdr:cNvPr id="6157" name="TextBox 6156">
          <a:extLst>
            <a:ext uri="{FF2B5EF4-FFF2-40B4-BE49-F238E27FC236}">
              <a16:creationId xmlns:a16="http://schemas.microsoft.com/office/drawing/2014/main" id="{AA2D6BFA-9F65-4AE4-BE4D-A9C2DD279B04}"/>
            </a:ext>
          </a:extLst>
        </xdr:cNvPr>
        <xdr:cNvSpPr txBox="1"/>
      </xdr:nvSpPr>
      <xdr:spPr>
        <a:xfrm rot="2942434">
          <a:off x="8078535" y="3814008"/>
          <a:ext cx="1383632" cy="3275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Strategically Ready</a:t>
          </a:r>
          <a:endParaRPr lang="en-US" sz="1100"/>
        </a:p>
      </xdr:txBody>
    </xdr:sp>
    <xdr:clientData/>
  </xdr:twoCellAnchor>
  <xdr:twoCellAnchor>
    <xdr:from>
      <xdr:col>2</xdr:col>
      <xdr:colOff>0</xdr:colOff>
      <xdr:row>13</xdr:row>
      <xdr:rowOff>88580</xdr:rowOff>
    </xdr:from>
    <xdr:to>
      <xdr:col>2</xdr:col>
      <xdr:colOff>0</xdr:colOff>
      <xdr:row>14</xdr:row>
      <xdr:rowOff>182158</xdr:rowOff>
    </xdr:to>
    <xdr:sp macro="" textlink="">
      <xdr:nvSpPr>
        <xdr:cNvPr id="6167" name="TextBox 6166">
          <a:extLst>
            <a:ext uri="{FF2B5EF4-FFF2-40B4-BE49-F238E27FC236}">
              <a16:creationId xmlns:a16="http://schemas.microsoft.com/office/drawing/2014/main" id="{CC300C42-81E6-4F21-97B2-C2042D749F1E}"/>
            </a:ext>
          </a:extLst>
        </xdr:cNvPr>
        <xdr:cNvSpPr txBox="1"/>
      </xdr:nvSpPr>
      <xdr:spPr>
        <a:xfrm rot="2682022">
          <a:off x="8227949" y="3029633"/>
          <a:ext cx="489655" cy="28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High</a:t>
          </a:r>
        </a:p>
      </xdr:txBody>
    </xdr:sp>
    <xdr:clientData/>
  </xdr:twoCellAnchor>
  <xdr:twoCellAnchor>
    <xdr:from>
      <xdr:col>1</xdr:col>
      <xdr:colOff>50800</xdr:colOff>
      <xdr:row>3</xdr:row>
      <xdr:rowOff>12489</xdr:rowOff>
    </xdr:from>
    <xdr:to>
      <xdr:col>1</xdr:col>
      <xdr:colOff>7759918</xdr:colOff>
      <xdr:row>3</xdr:row>
      <xdr:rowOff>178468</xdr:rowOff>
    </xdr:to>
    <xdr:sp macro="" textlink="Hide!C82">
      <xdr:nvSpPr>
        <xdr:cNvPr id="7" name="Rectangle 121">
          <a:extLst>
            <a:ext uri="{FF2B5EF4-FFF2-40B4-BE49-F238E27FC236}">
              <a16:creationId xmlns:a16="http://schemas.microsoft.com/office/drawing/2014/main" id="{290F08A6-A8EF-4E32-8FFC-C9326121A81E}"/>
            </a:ext>
          </a:extLst>
        </xdr:cNvPr>
        <xdr:cNvSpPr/>
      </xdr:nvSpPr>
      <xdr:spPr>
        <a:xfrm>
          <a:off x="177800" y="552239"/>
          <a:ext cx="7709118" cy="165979"/>
        </a:xfrm>
        <a:prstGeom prst="rect">
          <a:avLst/>
        </a:prstGeom>
        <a:gradFill flip="none" rotWithShape="1">
          <a:gsLst>
            <a:gs pos="26000">
              <a:srgbClr val="F5AB23"/>
            </a:gs>
            <a:gs pos="5000">
              <a:srgbClr val="DE0A01"/>
            </a:gs>
            <a:gs pos="73000">
              <a:srgbClr val="F5AB23"/>
            </a:gs>
            <a:gs pos="95000">
              <a:srgbClr val="00A76D"/>
            </a:gs>
          </a:gsLst>
          <a:lin ang="0" scaled="1"/>
          <a:tileRect/>
        </a:gradFill>
      </xdr:spPr>
      <xdr:txBody>
        <a:bodyPr wrap="square" anchor="ctr">
          <a:noAutofit/>
        </a:bodyPr>
        <a:lstStyle/>
        <a:p>
          <a:pPr marL="0" indent="0" algn="ctr" defTabSz="914400" rtl="0" eaLnBrk="1" latinLnBrk="0" hangingPunct="1"/>
          <a:fld id="{682D0386-36AF-474E-BA55-54EEA1A9183C}" type="TxLink">
            <a:rPr lang="en-US" sz="1000" b="0" i="0" u="none" strike="noStrike" kern="1200">
              <a:solidFill>
                <a:srgbClr val="000000"/>
              </a:solidFill>
              <a:latin typeface="Ariel"/>
              <a:ea typeface="+mn-ea"/>
              <a:cs typeface="Arial" panose="020B0604020202020204" pitchFamily="34" charset="0"/>
            </a:rPr>
            <a:pPr marL="0" indent="0" algn="ctr" defTabSz="914400" rtl="0" eaLnBrk="1" latinLnBrk="0" hangingPunct="1"/>
            <a:t>Overall GenAI Readiness Score: 2.9</a:t>
          </a:fld>
          <a:endParaRPr lang="en-US" sz="800" b="1" i="0" u="none" strike="noStrike" kern="1200">
            <a:solidFill>
              <a:schemeClr val="accent1">
                <a:lumMod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1</xdr:col>
      <xdr:colOff>3670300</xdr:colOff>
      <xdr:row>3</xdr:row>
      <xdr:rowOff>668</xdr:rowOff>
    </xdr:from>
    <xdr:to>
      <xdr:col>1</xdr:col>
      <xdr:colOff>3740150</xdr:colOff>
      <xdr:row>3</xdr:row>
      <xdr:rowOff>183548</xdr:rowOff>
    </xdr:to>
    <xdr:sp macro="" textlink="" fLocksText="0">
      <xdr:nvSpPr>
        <xdr:cNvPr id="22" name="Rectangle 19">
          <a:extLst>
            <a:ext uri="{FF2B5EF4-FFF2-40B4-BE49-F238E27FC236}">
              <a16:creationId xmlns:a16="http://schemas.microsoft.com/office/drawing/2014/main" id="{97FB1CAA-DAA9-4227-8971-3E57D90F98EF}"/>
            </a:ext>
          </a:extLst>
        </xdr:cNvPr>
        <xdr:cNvSpPr/>
      </xdr:nvSpPr>
      <xdr:spPr bwMode="gray">
        <a:xfrm>
          <a:off x="3797300" y="540418"/>
          <a:ext cx="69850" cy="182880"/>
        </a:xfrm>
        <a:prstGeom prst="rect">
          <a:avLst/>
        </a:prstGeom>
        <a:solidFill>
          <a:srgbClr val="BDBDBD">
            <a:alpha val="85000"/>
          </a:srgbClr>
        </a:solidFill>
        <a:ln w="12700" cap="flat" cmpd="sng" algn="ctr">
          <a:solidFill>
            <a:srgbClr val="BDBDBD"/>
          </a:solidFill>
          <a:prstDash val="solid"/>
          <a:round/>
          <a:headEnd type="none" w="med" len="med"/>
          <a:tailEnd type="none" w="med" len="med"/>
        </a:ln>
        <a:effectLst/>
      </xdr:spPr>
      <xdr:txBody>
        <a:bodyPr vert="horz" wrap="square" lIns="91440" tIns="45720" rIns="91440" bIns="45720" numCol="1" rtlCol="0" anchor="ctr" anchorCtr="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indent="0" algn="ctr" defTabSz="914400" rtl="0" eaLnBrk="0" fontAlgn="base" latinLnBrk="0" hangingPunct="0">
            <a:lnSpc>
              <a:spcPct val="100000"/>
            </a:lnSpc>
            <a:spcBef>
              <a:spcPct val="50000"/>
            </a:spcBef>
            <a:spcAft>
              <a:spcPct val="0"/>
            </a:spcAft>
            <a:buClrTx/>
            <a:buSzTx/>
            <a:buFontTx/>
            <a:buNone/>
            <a:tabLst/>
          </a:pPr>
          <a:endParaRPr kumimoji="0" lang="en-US" sz="1200" b="0" i="0" u="none" strike="noStrike" cap="none" normalizeH="0" baseline="0">
            <a:ln>
              <a:noFill/>
            </a:ln>
            <a:solidFill>
              <a:schemeClr val="bg1"/>
            </a:solidFill>
            <a:effectLst/>
            <a:latin typeface="Arial" panose="020B0604020202020204" pitchFamily="34" charset="0"/>
            <a:cs typeface="Arial" panose="020B0604020202020204" pitchFamily="34" charset="0"/>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9B511-30FD-43F5-BD7E-6C62CAFE4DE3}">
  <sheetPr codeName="Sheet7">
    <tabColor theme="9" tint="0.79998168889431442"/>
  </sheetPr>
  <dimension ref="A1:B15"/>
  <sheetViews>
    <sheetView showGridLines="0" showRowColHeaders="0" workbookViewId="0"/>
  </sheetViews>
  <sheetFormatPr defaultRowHeight="14.5"/>
  <cols>
    <col min="1" max="1" width="25" customWidth="1"/>
    <col min="2" max="2" width="122.36328125" customWidth="1"/>
  </cols>
  <sheetData>
    <row r="1" spans="1:2" ht="29">
      <c r="A1" s="18" t="s">
        <v>11</v>
      </c>
      <c r="B1" s="15" t="s">
        <v>32</v>
      </c>
    </row>
    <row r="2" spans="1:2" ht="49" customHeight="1">
      <c r="A2" s="18" t="s">
        <v>12</v>
      </c>
      <c r="B2" s="15" t="s">
        <v>31</v>
      </c>
    </row>
    <row r="3" spans="1:2">
      <c r="A3" s="18" t="s">
        <v>13</v>
      </c>
      <c r="B3" s="15" t="s">
        <v>14</v>
      </c>
    </row>
    <row r="4" spans="1:2">
      <c r="A4" s="18" t="s">
        <v>15</v>
      </c>
      <c r="B4" s="15" t="s">
        <v>16</v>
      </c>
    </row>
    <row r="5" spans="1:2" ht="29">
      <c r="A5" s="18" t="s">
        <v>18</v>
      </c>
      <c r="B5" s="15" t="s">
        <v>17</v>
      </c>
    </row>
    <row r="6" spans="1:2" ht="23.5" customHeight="1">
      <c r="A6" s="18" t="s">
        <v>20</v>
      </c>
      <c r="B6" s="15" t="s">
        <v>19</v>
      </c>
    </row>
    <row r="7" spans="1:2" ht="36" customHeight="1">
      <c r="A7" s="18" t="s">
        <v>33</v>
      </c>
      <c r="B7" s="15" t="s">
        <v>21</v>
      </c>
    </row>
    <row r="8" spans="1:2" ht="43.5">
      <c r="A8" s="19" t="s">
        <v>29</v>
      </c>
      <c r="B8" s="15" t="s">
        <v>22</v>
      </c>
    </row>
    <row r="9" spans="1:2" ht="58">
      <c r="A9" s="18" t="s">
        <v>23</v>
      </c>
      <c r="B9" s="15" t="s">
        <v>24</v>
      </c>
    </row>
    <row r="10" spans="1:2" ht="29">
      <c r="A10" s="19" t="s">
        <v>26</v>
      </c>
      <c r="B10" s="15" t="s">
        <v>25</v>
      </c>
    </row>
    <row r="11" spans="1:2" ht="29">
      <c r="A11" s="18" t="s">
        <v>28</v>
      </c>
      <c r="B11" s="15" t="s">
        <v>27</v>
      </c>
    </row>
    <row r="12" spans="1:2" ht="72.5">
      <c r="A12" s="18" t="s">
        <v>30</v>
      </c>
      <c r="B12" s="15" t="s">
        <v>34</v>
      </c>
    </row>
    <row r="13" spans="1:2">
      <c r="A13" s="17"/>
      <c r="B13" s="16"/>
    </row>
    <row r="14" spans="1:2">
      <c r="A14" s="17"/>
      <c r="B14" s="16"/>
    </row>
    <row r="15" spans="1:2">
      <c r="A15" s="17"/>
      <c r="B15" s="16"/>
    </row>
  </sheetData>
  <sheetProtection algorithmName="SHA-512" hashValue="LRLTX5oM8qMfStdoS0IbGs8KEnjqSh3rn9ZiOCiot51UlFWZ8NOlTpPzvDCSUYxWI4m9KVrRUM76hUE2nQa6AQ==" saltValue="LUIkYBlZH9Q6N8duH/78eA==" spinCount="100000" sheet="1" objects="1" scenarios="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51093-54BF-453B-BCD2-DFC1B05BB81F}">
  <sheetPr codeName="Sheet4">
    <tabColor theme="3" tint="0.749992370372631"/>
  </sheetPr>
  <dimension ref="A1:D45"/>
  <sheetViews>
    <sheetView showGridLines="0" tabSelected="1" workbookViewId="0">
      <pane xSplit="1" ySplit="1" topLeftCell="B6" activePane="bottomRight" state="frozen"/>
      <selection pane="topRight" activeCell="B1" sqref="B1"/>
      <selection pane="bottomLeft" activeCell="A2" sqref="A2"/>
      <selection pane="bottomRight" activeCell="C15" sqref="C15"/>
    </sheetView>
  </sheetViews>
  <sheetFormatPr defaultRowHeight="14.5"/>
  <cols>
    <col min="1" max="1" width="90" style="24" customWidth="1"/>
    <col min="2" max="2" width="39.1796875" style="24" customWidth="1"/>
    <col min="3" max="3" width="14.1796875" style="24" customWidth="1"/>
    <col min="4" max="4" width="21.6328125" style="24" customWidth="1"/>
    <col min="5" max="16384" width="8.7265625" style="24"/>
  </cols>
  <sheetData>
    <row r="1" spans="1:4" ht="84" customHeight="1">
      <c r="A1" s="21"/>
      <c r="B1" s="22" t="s">
        <v>41</v>
      </c>
      <c r="C1" s="23" t="s">
        <v>36</v>
      </c>
      <c r="D1" s="23" t="s">
        <v>7</v>
      </c>
    </row>
    <row r="2" spans="1:4">
      <c r="A2" s="25" t="s">
        <v>57</v>
      </c>
      <c r="B2" s="25"/>
      <c r="C2" s="26"/>
      <c r="D2" s="26"/>
    </row>
    <row r="3" spans="1:4">
      <c r="A3" s="27" t="s">
        <v>37</v>
      </c>
      <c r="B3" s="23" t="s">
        <v>2</v>
      </c>
      <c r="C3" s="14" t="s">
        <v>0</v>
      </c>
      <c r="D3" s="14">
        <v>5</v>
      </c>
    </row>
    <row r="4" spans="1:4">
      <c r="A4" s="27" t="s">
        <v>63</v>
      </c>
      <c r="B4" s="23" t="s">
        <v>4</v>
      </c>
      <c r="C4" s="14" t="s">
        <v>1</v>
      </c>
      <c r="D4" s="14">
        <v>4</v>
      </c>
    </row>
    <row r="5" spans="1:4" ht="29">
      <c r="A5" s="27" t="s">
        <v>53</v>
      </c>
      <c r="B5" s="23" t="s">
        <v>2</v>
      </c>
      <c r="C5" s="14" t="s">
        <v>5</v>
      </c>
      <c r="D5" s="14">
        <v>4</v>
      </c>
    </row>
    <row r="6" spans="1:4" ht="29">
      <c r="A6" s="27" t="s">
        <v>55</v>
      </c>
      <c r="B6" s="23" t="s">
        <v>42</v>
      </c>
      <c r="C6" s="14" t="s">
        <v>0</v>
      </c>
      <c r="D6" s="14">
        <v>4</v>
      </c>
    </row>
    <row r="7" spans="1:4" ht="29">
      <c r="A7" s="27" t="s">
        <v>65</v>
      </c>
      <c r="B7" s="23" t="s">
        <v>2</v>
      </c>
      <c r="C7" s="14" t="s">
        <v>1</v>
      </c>
      <c r="D7" s="14">
        <v>4</v>
      </c>
    </row>
    <row r="8" spans="1:4">
      <c r="A8" s="27" t="s">
        <v>67</v>
      </c>
      <c r="B8" s="23" t="s">
        <v>42</v>
      </c>
      <c r="C8" s="14" t="s">
        <v>35</v>
      </c>
      <c r="D8" s="14">
        <v>4</v>
      </c>
    </row>
    <row r="9" spans="1:4" ht="29">
      <c r="A9" s="27" t="s">
        <v>66</v>
      </c>
      <c r="B9" s="23" t="s">
        <v>4</v>
      </c>
      <c r="C9" s="14" t="s">
        <v>1</v>
      </c>
      <c r="D9" s="14">
        <v>4</v>
      </c>
    </row>
    <row r="10" spans="1:4" ht="29">
      <c r="A10" s="27" t="s">
        <v>69</v>
      </c>
      <c r="B10" s="23" t="s">
        <v>3</v>
      </c>
      <c r="C10" s="14" t="s">
        <v>5</v>
      </c>
      <c r="D10" s="14">
        <v>4</v>
      </c>
    </row>
    <row r="11" spans="1:4">
      <c r="A11" s="27" t="s">
        <v>51</v>
      </c>
      <c r="B11" s="23" t="s">
        <v>3</v>
      </c>
      <c r="C11" s="14" t="s">
        <v>35</v>
      </c>
      <c r="D11" s="14">
        <v>5</v>
      </c>
    </row>
    <row r="12" spans="1:4" ht="29">
      <c r="A12" s="27" t="s">
        <v>50</v>
      </c>
      <c r="B12" s="23" t="s">
        <v>2</v>
      </c>
      <c r="C12" s="14" t="s">
        <v>0</v>
      </c>
      <c r="D12" s="14">
        <v>5</v>
      </c>
    </row>
    <row r="13" spans="1:4">
      <c r="A13" s="28" t="s">
        <v>58</v>
      </c>
      <c r="B13" s="25"/>
      <c r="C13" s="26"/>
      <c r="D13" s="26"/>
    </row>
    <row r="14" spans="1:4" ht="17.5" customHeight="1">
      <c r="A14" s="27" t="s">
        <v>38</v>
      </c>
      <c r="B14" s="23" t="s">
        <v>3</v>
      </c>
      <c r="C14" s="14" t="s">
        <v>1</v>
      </c>
      <c r="D14" s="14">
        <v>2</v>
      </c>
    </row>
    <row r="15" spans="1:4" ht="30" customHeight="1">
      <c r="A15" s="27" t="s">
        <v>64</v>
      </c>
      <c r="B15" s="23" t="s">
        <v>3</v>
      </c>
      <c r="C15" s="14" t="s">
        <v>35</v>
      </c>
      <c r="D15" s="14">
        <v>1</v>
      </c>
    </row>
    <row r="16" spans="1:4" ht="19" customHeight="1">
      <c r="A16" s="27" t="s">
        <v>70</v>
      </c>
      <c r="B16" s="23" t="s">
        <v>2</v>
      </c>
      <c r="C16" s="14" t="s">
        <v>5</v>
      </c>
      <c r="D16" s="14">
        <v>3</v>
      </c>
    </row>
    <row r="17" spans="1:4" ht="18" customHeight="1">
      <c r="A17" s="27" t="s">
        <v>9</v>
      </c>
      <c r="B17" s="23" t="s">
        <v>2</v>
      </c>
      <c r="C17" s="14" t="s">
        <v>1</v>
      </c>
      <c r="D17" s="14">
        <v>4</v>
      </c>
    </row>
    <row r="18" spans="1:4" ht="15.5" customHeight="1">
      <c r="A18" s="27" t="s">
        <v>48</v>
      </c>
      <c r="B18" s="23" t="s">
        <v>3</v>
      </c>
      <c r="C18" s="14" t="s">
        <v>0</v>
      </c>
      <c r="D18" s="14">
        <v>1</v>
      </c>
    </row>
    <row r="19" spans="1:4" ht="31.5" customHeight="1">
      <c r="A19" s="27" t="s">
        <v>71</v>
      </c>
      <c r="B19" s="23" t="s">
        <v>4</v>
      </c>
      <c r="C19" s="14" t="s">
        <v>5</v>
      </c>
      <c r="D19" s="14">
        <v>4</v>
      </c>
    </row>
    <row r="20" spans="1:4" ht="19" customHeight="1">
      <c r="A20" s="27" t="s">
        <v>56</v>
      </c>
      <c r="B20" s="23" t="s">
        <v>2</v>
      </c>
      <c r="C20" s="14" t="s">
        <v>0</v>
      </c>
      <c r="D20" s="14">
        <v>3</v>
      </c>
    </row>
    <row r="21" spans="1:4" ht="19" customHeight="1">
      <c r="A21" s="27" t="s">
        <v>62</v>
      </c>
      <c r="B21" s="23" t="s">
        <v>42</v>
      </c>
      <c r="C21" s="14" t="s">
        <v>35</v>
      </c>
      <c r="D21" s="14">
        <v>2</v>
      </c>
    </row>
    <row r="22" spans="1:4" ht="16" customHeight="1">
      <c r="A22" s="27" t="s">
        <v>52</v>
      </c>
      <c r="B22" s="23" t="s">
        <v>3</v>
      </c>
      <c r="C22" s="14" t="s">
        <v>0</v>
      </c>
      <c r="D22" s="14">
        <v>2</v>
      </c>
    </row>
    <row r="23" spans="1:4">
      <c r="A23" s="27" t="s">
        <v>54</v>
      </c>
      <c r="B23" s="23" t="s">
        <v>2</v>
      </c>
      <c r="C23" s="14" t="s">
        <v>0</v>
      </c>
      <c r="D23" s="14">
        <v>4</v>
      </c>
    </row>
    <row r="24" spans="1:4" ht="15.5" customHeight="1">
      <c r="A24" s="28" t="s">
        <v>59</v>
      </c>
      <c r="B24" s="25"/>
      <c r="C24" s="26"/>
      <c r="D24" s="26"/>
    </row>
    <row r="25" spans="1:4" ht="19.5" customHeight="1">
      <c r="A25" s="27" t="s">
        <v>47</v>
      </c>
      <c r="B25" s="23" t="s">
        <v>42</v>
      </c>
      <c r="C25" s="14" t="s">
        <v>0</v>
      </c>
      <c r="D25" s="14">
        <v>1</v>
      </c>
    </row>
    <row r="26" spans="1:4" ht="18" customHeight="1">
      <c r="A26" s="27" t="s">
        <v>39</v>
      </c>
      <c r="B26" s="23" t="s">
        <v>2</v>
      </c>
      <c r="C26" s="14" t="s">
        <v>5</v>
      </c>
      <c r="D26" s="14">
        <v>1</v>
      </c>
    </row>
    <row r="27" spans="1:4" ht="17" customHeight="1">
      <c r="A27" s="27" t="s">
        <v>72</v>
      </c>
      <c r="B27" s="23" t="s">
        <v>2</v>
      </c>
      <c r="C27" s="14" t="s">
        <v>1</v>
      </c>
      <c r="D27" s="14">
        <v>2</v>
      </c>
    </row>
    <row r="28" spans="1:4" ht="29" customHeight="1">
      <c r="A28" s="27" t="s">
        <v>68</v>
      </c>
      <c r="B28" s="23" t="s">
        <v>42</v>
      </c>
      <c r="C28" s="14" t="s">
        <v>35</v>
      </c>
      <c r="D28" s="14">
        <v>1</v>
      </c>
    </row>
    <row r="29" spans="1:4" ht="30.5" customHeight="1">
      <c r="A29" s="27" t="s">
        <v>73</v>
      </c>
      <c r="B29" s="23" t="s">
        <v>4</v>
      </c>
      <c r="C29" s="14" t="s">
        <v>1</v>
      </c>
      <c r="D29" s="14">
        <v>2</v>
      </c>
    </row>
    <row r="30" spans="1:4" ht="29">
      <c r="A30" s="27" t="s">
        <v>46</v>
      </c>
      <c r="B30" s="23" t="s">
        <v>3</v>
      </c>
      <c r="C30" s="14" t="s">
        <v>0</v>
      </c>
      <c r="D30" s="14">
        <v>2</v>
      </c>
    </row>
    <row r="31" spans="1:4" ht="17.5" customHeight="1">
      <c r="A31" s="27" t="s">
        <v>49</v>
      </c>
      <c r="B31" s="23" t="s">
        <v>2</v>
      </c>
      <c r="C31" s="14" t="s">
        <v>1</v>
      </c>
      <c r="D31" s="14">
        <v>2</v>
      </c>
    </row>
    <row r="32" spans="1:4" ht="31" customHeight="1">
      <c r="A32" s="27" t="s">
        <v>10</v>
      </c>
      <c r="B32" s="23" t="s">
        <v>3</v>
      </c>
      <c r="C32" s="14" t="s">
        <v>5</v>
      </c>
      <c r="D32" s="14">
        <v>1</v>
      </c>
    </row>
    <row r="33" spans="1:4">
      <c r="A33" s="28" t="s">
        <v>60</v>
      </c>
      <c r="B33" s="25"/>
      <c r="C33" s="26"/>
      <c r="D33" s="26"/>
    </row>
    <row r="34" spans="1:4">
      <c r="A34" s="27" t="s">
        <v>40</v>
      </c>
      <c r="B34" s="23" t="s">
        <v>3</v>
      </c>
      <c r="C34" s="14" t="s">
        <v>0</v>
      </c>
      <c r="D34" s="14">
        <v>3</v>
      </c>
    </row>
    <row r="35" spans="1:4">
      <c r="A35" s="27" t="s">
        <v>74</v>
      </c>
      <c r="B35" s="23" t="s">
        <v>2</v>
      </c>
      <c r="C35" s="14" t="s">
        <v>5</v>
      </c>
      <c r="D35" s="14">
        <v>4</v>
      </c>
    </row>
    <row r="36" spans="1:4" ht="29">
      <c r="A36" s="27" t="s">
        <v>75</v>
      </c>
      <c r="B36" s="23" t="s">
        <v>3</v>
      </c>
      <c r="C36" s="14" t="s">
        <v>1</v>
      </c>
      <c r="D36" s="14">
        <v>3</v>
      </c>
    </row>
    <row r="37" spans="1:4">
      <c r="A37" s="27" t="s">
        <v>43</v>
      </c>
      <c r="B37" s="23" t="s">
        <v>2</v>
      </c>
      <c r="C37" s="14" t="s">
        <v>35</v>
      </c>
      <c r="D37" s="14">
        <v>3</v>
      </c>
    </row>
    <row r="38" spans="1:4">
      <c r="A38" s="29" t="s">
        <v>44</v>
      </c>
      <c r="B38" s="23" t="s">
        <v>4</v>
      </c>
      <c r="C38" s="14" t="s">
        <v>1</v>
      </c>
      <c r="D38" s="14">
        <v>3</v>
      </c>
    </row>
    <row r="39" spans="1:4">
      <c r="A39" s="27" t="s">
        <v>45</v>
      </c>
      <c r="B39" s="23" t="s">
        <v>2</v>
      </c>
      <c r="C39" s="14" t="s">
        <v>0</v>
      </c>
      <c r="D39" s="14">
        <v>3</v>
      </c>
    </row>
    <row r="40" spans="1:4">
      <c r="A40" s="27" t="s">
        <v>61</v>
      </c>
      <c r="B40" s="23" t="s">
        <v>2</v>
      </c>
      <c r="C40" s="14" t="s">
        <v>1</v>
      </c>
      <c r="D40" s="14">
        <v>3</v>
      </c>
    </row>
    <row r="41" spans="1:4">
      <c r="A41" s="27" t="s">
        <v>76</v>
      </c>
      <c r="B41" s="23" t="s">
        <v>42</v>
      </c>
      <c r="C41" s="14" t="s">
        <v>5</v>
      </c>
      <c r="D41" s="14">
        <v>5</v>
      </c>
    </row>
    <row r="42" spans="1:4">
      <c r="B42" s="30"/>
    </row>
    <row r="43" spans="1:4">
      <c r="B43" s="30"/>
    </row>
    <row r="44" spans="1:4">
      <c r="B44" s="30"/>
    </row>
    <row r="45" spans="1:4">
      <c r="B45" s="30"/>
    </row>
  </sheetData>
  <sheetProtection algorithmName="SHA-512" hashValue="B3iiIcNmouznOfT7/XrzHrx4Uhw6JoF8hByfckU052cX2ed5qfg4RUWzGVB+xxhVO7Cz+xkHW0N8jqXq2AdFJw==" saltValue="1fxGkUT8jFbrBFTHwrdFTg==" spinCount="100000" sheet="1" objects="1" scenarios="1"/>
  <dataValidations count="3">
    <dataValidation type="list" allowBlank="1" showInputMessage="1" showErrorMessage="1" sqref="D14:D23 D25:D32 D3:D12 D34:D41" xr:uid="{44BE911B-7E5C-4E7D-880C-9E3110C1C8D7}">
      <formula1>"1,2,3,4,5"</formula1>
    </dataValidation>
    <dataValidation type="list" allowBlank="1" showInputMessage="1" showErrorMessage="1" sqref="C14:C23 C25:C32 C34:C41 C3:C12" xr:uid="{704751A6-C45C-4EBC-A951-4A2FCB15B841}">
      <formula1>"Not Applicable,Critical,Important,Manageable"</formula1>
    </dataValidation>
    <dataValidation type="list" allowBlank="1" showInputMessage="1" showErrorMessage="1" sqref="B14:B23 B25:B32 B34:B41 B3:B12" xr:uid="{400E24DC-6B32-4499-8B9B-F1CBE5E5328D}">
      <formula1>"Environment,Financial,People,Process"</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4EA6C-8AA9-42BE-A5B7-F691F72EC8C7}">
  <sheetPr codeName="Sheet6">
    <tabColor rgb="FFFF0000"/>
  </sheetPr>
  <dimension ref="A1:B2"/>
  <sheetViews>
    <sheetView showGridLines="0" showRowColHeaders="0" zoomScale="95" zoomScaleNormal="95" workbookViewId="0"/>
  </sheetViews>
  <sheetFormatPr defaultRowHeight="14.5"/>
  <cols>
    <col min="1" max="1" width="1.81640625" customWidth="1"/>
    <col min="2" max="2" width="112.1796875" customWidth="1"/>
    <col min="3" max="3" width="1.81640625" customWidth="1"/>
  </cols>
  <sheetData>
    <row r="1" spans="1:2" ht="20">
      <c r="A1" s="1"/>
      <c r="B1" s="20" t="s">
        <v>8</v>
      </c>
    </row>
    <row r="2" spans="1:2" ht="8" customHeight="1">
      <c r="A2" s="1"/>
      <c r="B2" s="13"/>
    </row>
  </sheetData>
  <sheetProtection algorithmName="SHA-512" hashValue="G/R1puM66eyycAVokDwcOpu20isF1d385V2pO7RIUBUCPbRknpzwiywBEfdS5A6JxCz0IeMwoPU5aYgbbQPXsw==" saltValue="YWfMAXJuv3WRUZekVNrVBA==" spinCount="100000"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Group Box 2">
              <controlPr defaultSize="0" autoFill="0" autoPict="0">
                <anchor moveWithCells="1">
                  <from>
                    <xdr:col>1</xdr:col>
                    <xdr:colOff>6350</xdr:colOff>
                    <xdr:row>4</xdr:row>
                    <xdr:rowOff>76200</xdr:rowOff>
                  </from>
                  <to>
                    <xdr:col>1</xdr:col>
                    <xdr:colOff>7816850</xdr:colOff>
                    <xdr:row>10</xdr:row>
                    <xdr:rowOff>107950</xdr:rowOff>
                  </to>
                </anchor>
              </controlPr>
            </control>
          </mc:Choice>
        </mc:AlternateContent>
        <mc:AlternateContent xmlns:mc="http://schemas.openxmlformats.org/markup-compatibility/2006">
          <mc:Choice Requires="x14">
            <control shapeId="6147" r:id="rId4" name="Group Box 3">
              <controlPr defaultSize="0" autoFill="0" autoPict="0">
                <anchor moveWithCells="1">
                  <from>
                    <xdr:col>1</xdr:col>
                    <xdr:colOff>6350</xdr:colOff>
                    <xdr:row>10</xdr:row>
                    <xdr:rowOff>184150</xdr:rowOff>
                  </from>
                  <to>
                    <xdr:col>1</xdr:col>
                    <xdr:colOff>7810500</xdr:colOff>
                    <xdr:row>17</xdr:row>
                    <xdr:rowOff>19050</xdr:rowOff>
                  </to>
                </anchor>
              </controlPr>
            </control>
          </mc:Choice>
        </mc:AlternateContent>
        <mc:AlternateContent xmlns:mc="http://schemas.openxmlformats.org/markup-compatibility/2006">
          <mc:Choice Requires="x14">
            <control shapeId="6148" r:id="rId5" name="Group Box 4">
              <controlPr defaultSize="0" autoFill="0" autoPict="0">
                <anchor moveWithCells="1">
                  <from>
                    <xdr:col>1</xdr:col>
                    <xdr:colOff>6350</xdr:colOff>
                    <xdr:row>17</xdr:row>
                    <xdr:rowOff>107950</xdr:rowOff>
                  </from>
                  <to>
                    <xdr:col>1</xdr:col>
                    <xdr:colOff>7810500</xdr:colOff>
                    <xdr:row>23</xdr:row>
                    <xdr:rowOff>107950</xdr:rowOff>
                  </to>
                </anchor>
              </controlPr>
            </control>
          </mc:Choice>
        </mc:AlternateContent>
        <mc:AlternateContent xmlns:mc="http://schemas.openxmlformats.org/markup-compatibility/2006">
          <mc:Choice Requires="x14">
            <control shapeId="6150" r:id="rId6" name="Group Box 6">
              <controlPr defaultSize="0" autoFill="0" autoPict="0">
                <anchor moveWithCells="1">
                  <from>
                    <xdr:col>1</xdr:col>
                    <xdr:colOff>31750</xdr:colOff>
                    <xdr:row>24</xdr:row>
                    <xdr:rowOff>12700</xdr:rowOff>
                  </from>
                  <to>
                    <xdr:col>1</xdr:col>
                    <xdr:colOff>7829550</xdr:colOff>
                    <xdr:row>30</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CC92E-F9D7-4B7B-9913-EDB7477B9E6B}">
  <sheetPr codeName="Sheet3"/>
  <dimension ref="A2:P127"/>
  <sheetViews>
    <sheetView topLeftCell="A58" workbookViewId="0">
      <selection activeCell="B80" sqref="B80"/>
    </sheetView>
  </sheetViews>
  <sheetFormatPr defaultRowHeight="12.5"/>
  <cols>
    <col min="1" max="1" width="71.08984375" style="2" customWidth="1"/>
    <col min="2" max="2" width="13.6328125" style="2" customWidth="1"/>
    <col min="3" max="3" width="24.36328125" style="2" customWidth="1"/>
    <col min="4" max="4" width="13.36328125" style="2" customWidth="1"/>
    <col min="5" max="16384" width="8.7265625" style="2"/>
  </cols>
  <sheetData>
    <row r="2" spans="1:16">
      <c r="B2" s="2" t="s">
        <v>6</v>
      </c>
    </row>
    <row r="3" spans="1:16">
      <c r="A3" s="2" t="s">
        <v>0</v>
      </c>
      <c r="B3" s="2">
        <v>2</v>
      </c>
    </row>
    <row r="4" spans="1:16">
      <c r="A4" s="2" t="s">
        <v>1</v>
      </c>
      <c r="B4" s="2">
        <v>1.5</v>
      </c>
    </row>
    <row r="5" spans="1:16">
      <c r="A5" s="2" t="s">
        <v>5</v>
      </c>
      <c r="B5" s="2">
        <v>1</v>
      </c>
    </row>
    <row r="6" spans="1:16">
      <c r="A6" s="3" t="s">
        <v>35</v>
      </c>
      <c r="B6" s="4">
        <v>0</v>
      </c>
      <c r="E6" s="5"/>
      <c r="F6" s="6"/>
      <c r="G6" s="7"/>
      <c r="H6" s="7"/>
      <c r="I6" s="7"/>
      <c r="J6" s="7"/>
      <c r="K6" s="7"/>
      <c r="L6" s="7"/>
      <c r="M6" s="7"/>
      <c r="N6" s="7"/>
      <c r="O6" s="7"/>
      <c r="P6" s="7"/>
    </row>
    <row r="7" spans="1:16">
      <c r="A7" s="3"/>
      <c r="B7" s="4"/>
      <c r="E7" s="5"/>
      <c r="F7" s="6"/>
      <c r="G7" s="7"/>
      <c r="H7" s="7"/>
      <c r="I7" s="7"/>
      <c r="J7" s="7"/>
      <c r="K7" s="7"/>
      <c r="L7" s="7"/>
      <c r="M7" s="7"/>
      <c r="N7" s="7"/>
      <c r="O7" s="7"/>
      <c r="P7" s="7"/>
    </row>
    <row r="8" spans="1:16">
      <c r="A8" s="3" t="str">
        <f>INPUTS!A2</f>
        <v>Strategic Dimensions of GenAI Readiness</v>
      </c>
      <c r="B8" s="3"/>
      <c r="C8" s="3"/>
      <c r="D8" s="3"/>
      <c r="E8" s="3"/>
      <c r="F8" s="6"/>
      <c r="G8" s="7"/>
      <c r="H8" s="7"/>
      <c r="I8" s="7"/>
      <c r="J8" s="7"/>
      <c r="K8" s="7"/>
      <c r="L8" s="7"/>
      <c r="M8" s="7"/>
      <c r="N8" s="7"/>
      <c r="O8" s="7"/>
      <c r="P8" s="7"/>
    </row>
    <row r="9" spans="1:16">
      <c r="A9" s="3" t="str">
        <f>INPUTS!A3</f>
        <v>Degree that the use of GenAI aligns with the social or philanthropic mission of the non-profit</v>
      </c>
      <c r="B9" s="3" t="str">
        <f>INPUTS!B3</f>
        <v>Process</v>
      </c>
      <c r="C9" s="3">
        <f>INPUTS!D3</f>
        <v>5</v>
      </c>
      <c r="D9" s="3" t="str">
        <f>INPUTS!C3</f>
        <v>Critical</v>
      </c>
      <c r="E9" s="3">
        <f>VLOOKUP(D9, $A$3:$B$6,2,FALSE)</f>
        <v>2</v>
      </c>
      <c r="F9" s="6">
        <f>C9*E9</f>
        <v>10</v>
      </c>
      <c r="G9" s="7" t="s">
        <v>77</v>
      </c>
      <c r="H9" s="7"/>
      <c r="I9" s="7"/>
      <c r="J9" s="7"/>
      <c r="K9" s="7"/>
      <c r="L9" s="7"/>
      <c r="M9" s="7"/>
      <c r="N9" s="7"/>
      <c r="O9" s="7"/>
      <c r="P9" s="7"/>
    </row>
    <row r="10" spans="1:16">
      <c r="A10" s="3" t="str">
        <f>INPUTS!A4</f>
        <v>Degree that the non-profit is prepared to dispel the overhead myth with GenAI investments</v>
      </c>
      <c r="B10" s="3" t="str">
        <f>INPUTS!B4</f>
        <v>Financial</v>
      </c>
      <c r="C10" s="3">
        <f>INPUTS!D4</f>
        <v>4</v>
      </c>
      <c r="D10" s="3" t="str">
        <f>INPUTS!C4</f>
        <v>Important</v>
      </c>
      <c r="E10" s="3">
        <f t="shared" ref="E10:E18" si="0">VLOOKUP(D10, $A$3:$B$6,2,FALSE)</f>
        <v>1.5</v>
      </c>
      <c r="F10" s="6">
        <f t="shared" ref="F10:F18" si="1">C10*E10</f>
        <v>6</v>
      </c>
      <c r="G10" s="7" t="s">
        <v>77</v>
      </c>
      <c r="H10" s="7"/>
      <c r="I10" s="7"/>
      <c r="J10" s="7"/>
      <c r="K10" s="7"/>
      <c r="L10" s="7"/>
      <c r="M10" s="7"/>
      <c r="N10" s="7"/>
      <c r="O10" s="7"/>
      <c r="P10" s="7"/>
    </row>
    <row r="11" spans="1:16">
      <c r="A11" s="3" t="str">
        <f>INPUTS!A5</f>
        <v>Degree that the non-profit has a risk management strategy should the use of GenAI hinder its social or philanthropic mission</v>
      </c>
      <c r="B11" s="3" t="str">
        <f>INPUTS!B5</f>
        <v>Process</v>
      </c>
      <c r="C11" s="3">
        <f>INPUTS!D5</f>
        <v>4</v>
      </c>
      <c r="D11" s="3" t="str">
        <f>INPUTS!C5</f>
        <v>Manageable</v>
      </c>
      <c r="E11" s="3">
        <f t="shared" si="0"/>
        <v>1</v>
      </c>
      <c r="F11" s="6">
        <f t="shared" si="1"/>
        <v>4</v>
      </c>
      <c r="G11" s="7" t="s">
        <v>77</v>
      </c>
      <c r="H11" s="7"/>
      <c r="I11" s="7"/>
      <c r="J11" s="7"/>
      <c r="K11" s="7"/>
      <c r="L11" s="7"/>
      <c r="M11" s="7"/>
      <c r="N11" s="7"/>
      <c r="O11" s="7"/>
      <c r="P11" s="7"/>
    </row>
    <row r="12" spans="1:16">
      <c r="A12" s="3" t="str">
        <f>INPUTS!A6</f>
        <v xml:space="preserve">Degree that the non-profit understands how their external stakeholder's (e.g., donors or volunteers) perceive the use of GenAI solutions  </v>
      </c>
      <c r="B12" s="3" t="str">
        <f>INPUTS!B6</f>
        <v>Environment</v>
      </c>
      <c r="C12" s="3">
        <f>INPUTS!D6</f>
        <v>4</v>
      </c>
      <c r="D12" s="3" t="str">
        <f>INPUTS!C6</f>
        <v>Critical</v>
      </c>
      <c r="E12" s="3">
        <f t="shared" si="0"/>
        <v>2</v>
      </c>
      <c r="F12" s="6">
        <f t="shared" si="1"/>
        <v>8</v>
      </c>
      <c r="G12" s="7" t="s">
        <v>77</v>
      </c>
      <c r="H12" s="7"/>
      <c r="I12" s="7"/>
      <c r="J12" s="7"/>
      <c r="K12" s="7"/>
      <c r="L12" s="7"/>
      <c r="M12" s="7"/>
      <c r="N12" s="7"/>
      <c r="O12" s="7"/>
      <c r="P12" s="7"/>
    </row>
    <row r="13" spans="1:16">
      <c r="A13" s="3" t="str">
        <f>INPUTS!A7</f>
        <v>Degree that the non-profit has defined GenAI ethical &amp; appropriate use doctrines to protect its ability to meet its social and philanthropic mission</v>
      </c>
      <c r="B13" s="3" t="str">
        <f>INPUTS!B7</f>
        <v>Process</v>
      </c>
      <c r="C13" s="3">
        <f>INPUTS!D7</f>
        <v>4</v>
      </c>
      <c r="D13" s="3" t="str">
        <f>INPUTS!C7</f>
        <v>Important</v>
      </c>
      <c r="E13" s="3">
        <f t="shared" si="0"/>
        <v>1.5</v>
      </c>
      <c r="F13" s="6">
        <f t="shared" si="1"/>
        <v>6</v>
      </c>
      <c r="G13" s="7" t="s">
        <v>77</v>
      </c>
      <c r="H13" s="7"/>
      <c r="I13" s="7"/>
      <c r="J13" s="7"/>
      <c r="K13" s="7"/>
      <c r="L13" s="7"/>
      <c r="M13" s="7"/>
      <c r="N13" s="7"/>
      <c r="O13" s="7"/>
      <c r="P13" s="7"/>
    </row>
    <row r="14" spans="1:16">
      <c r="A14" s="3" t="str">
        <f>INPUTS!A8</f>
        <v>Degree that the non-profit understands the regulatory issues associated with implementing GenAI solutions</v>
      </c>
      <c r="B14" s="3" t="str">
        <f>INPUTS!B8</f>
        <v>Environment</v>
      </c>
      <c r="C14" s="3">
        <f>INPUTS!D8</f>
        <v>4</v>
      </c>
      <c r="D14" s="3" t="str">
        <f>INPUTS!C8</f>
        <v>Not Applicable</v>
      </c>
      <c r="E14" s="3">
        <f t="shared" si="0"/>
        <v>0</v>
      </c>
      <c r="F14" s="6">
        <f t="shared" si="1"/>
        <v>0</v>
      </c>
      <c r="G14" s="7" t="s">
        <v>77</v>
      </c>
      <c r="H14" s="7"/>
      <c r="I14" s="7"/>
      <c r="J14" s="7"/>
      <c r="K14" s="7"/>
      <c r="L14" s="7"/>
      <c r="M14" s="7"/>
      <c r="N14" s="7"/>
      <c r="O14" s="7"/>
      <c r="P14" s="7"/>
    </row>
    <row r="15" spans="1:16">
      <c r="A15" s="3" t="str">
        <f>INPUTS!A9</f>
        <v>Degree that the non-profit has the funds available for short-term and long-term GenAI solutions without hindering its investments directly in its social or philanthropic mission</v>
      </c>
      <c r="B15" s="3" t="str">
        <f>INPUTS!B9</f>
        <v>Financial</v>
      </c>
      <c r="C15" s="3">
        <f>INPUTS!D9</f>
        <v>4</v>
      </c>
      <c r="D15" s="3" t="str">
        <f>INPUTS!C9</f>
        <v>Important</v>
      </c>
      <c r="E15" s="3">
        <f t="shared" si="0"/>
        <v>1.5</v>
      </c>
      <c r="F15" s="6">
        <f t="shared" si="1"/>
        <v>6</v>
      </c>
      <c r="G15" s="7" t="s">
        <v>77</v>
      </c>
      <c r="H15" s="7"/>
      <c r="I15" s="7"/>
      <c r="J15" s="7"/>
      <c r="K15" s="7"/>
      <c r="L15" s="7"/>
      <c r="M15" s="7"/>
      <c r="N15" s="7"/>
      <c r="O15" s="7"/>
      <c r="P15" s="7"/>
    </row>
    <row r="16" spans="1:16">
      <c r="A16" s="3" t="str">
        <f>INPUTS!A10</f>
        <v>Degree that the non-profit's leadership team understands transparency, fairness, and equitable issues of GenAI solutions</v>
      </c>
      <c r="B16" s="3" t="str">
        <f>INPUTS!B10</f>
        <v>People</v>
      </c>
      <c r="C16" s="3">
        <f>INPUTS!D10</f>
        <v>4</v>
      </c>
      <c r="D16" s="3" t="str">
        <f>INPUTS!C10</f>
        <v>Manageable</v>
      </c>
      <c r="E16" s="3">
        <f t="shared" si="0"/>
        <v>1</v>
      </c>
      <c r="F16" s="6">
        <f t="shared" si="1"/>
        <v>4</v>
      </c>
      <c r="G16" s="7" t="s">
        <v>77</v>
      </c>
      <c r="H16" s="7"/>
      <c r="I16" s="7"/>
      <c r="J16" s="7"/>
      <c r="K16" s="7"/>
      <c r="L16" s="7"/>
      <c r="M16" s="7"/>
      <c r="N16" s="7"/>
      <c r="O16" s="7"/>
      <c r="P16" s="7"/>
    </row>
    <row r="17" spans="1:16">
      <c r="A17" s="3" t="str">
        <f>INPUTS!A11</f>
        <v>Degree that the non-profit has GenAI champions or executive sponsorship to encourage GenAI use</v>
      </c>
      <c r="B17" s="3" t="str">
        <f>INPUTS!B11</f>
        <v>People</v>
      </c>
      <c r="C17" s="3">
        <f>INPUTS!D11</f>
        <v>5</v>
      </c>
      <c r="D17" s="3" t="str">
        <f>INPUTS!C11</f>
        <v>Not Applicable</v>
      </c>
      <c r="E17" s="3">
        <f t="shared" si="0"/>
        <v>0</v>
      </c>
      <c r="F17" s="6">
        <f t="shared" si="1"/>
        <v>0</v>
      </c>
      <c r="G17" s="7" t="s">
        <v>77</v>
      </c>
      <c r="H17" s="7"/>
      <c r="I17" s="7"/>
      <c r="J17" s="7"/>
      <c r="K17" s="7"/>
      <c r="L17" s="7"/>
      <c r="M17" s="7"/>
      <c r="N17" s="7"/>
      <c r="O17" s="7"/>
      <c r="P17" s="7"/>
    </row>
    <row r="18" spans="1:16">
      <c r="A18" s="3" t="str">
        <f>INPUTS!A12</f>
        <v>Degree that the non-profit is prepared to stop using a GenAI solution if it is deemed to have used copyrighted, stolen, or unethically obtained data</v>
      </c>
      <c r="B18" s="3" t="str">
        <f>INPUTS!B12</f>
        <v>Process</v>
      </c>
      <c r="C18" s="3">
        <f>INPUTS!D12</f>
        <v>5</v>
      </c>
      <c r="D18" s="3" t="str">
        <f>INPUTS!C12</f>
        <v>Critical</v>
      </c>
      <c r="E18" s="3">
        <f t="shared" si="0"/>
        <v>2</v>
      </c>
      <c r="F18" s="6">
        <f t="shared" si="1"/>
        <v>10</v>
      </c>
      <c r="G18" s="7" t="s">
        <v>77</v>
      </c>
      <c r="H18" s="7"/>
      <c r="I18" s="7"/>
      <c r="J18" s="7"/>
      <c r="K18" s="7"/>
      <c r="L18" s="7"/>
      <c r="M18" s="7"/>
      <c r="N18" s="8"/>
      <c r="O18" s="9"/>
      <c r="P18" s="10"/>
    </row>
    <row r="19" spans="1:16">
      <c r="A19" s="3"/>
      <c r="B19" s="3"/>
      <c r="C19" s="3"/>
      <c r="D19" s="3"/>
      <c r="E19" s="3"/>
      <c r="F19" s="6"/>
    </row>
    <row r="20" spans="1:16">
      <c r="A20" s="3" t="str">
        <f>INPUTS!A13</f>
        <v>Cultural Dimensions of GenAI Readiness</v>
      </c>
      <c r="B20" s="3"/>
      <c r="C20" s="3"/>
      <c r="D20" s="3"/>
      <c r="E20" s="3"/>
      <c r="F20" s="6"/>
    </row>
    <row r="21" spans="1:16">
      <c r="A21" s="3" t="str">
        <f>INPUTS!A14</f>
        <v>Degree that the non-profit is willing and able to learn different GenAI solutions</v>
      </c>
      <c r="B21" s="3" t="str">
        <f>INPUTS!B14</f>
        <v>People</v>
      </c>
      <c r="C21" s="3">
        <f>INPUTS!D14</f>
        <v>2</v>
      </c>
      <c r="D21" s="3" t="str">
        <f>INPUTS!C14</f>
        <v>Important</v>
      </c>
      <c r="E21" s="3">
        <f>VLOOKUP(D21, $A$3:$B$6,2,FALSE)</f>
        <v>1.5</v>
      </c>
      <c r="F21" s="6">
        <f t="shared" ref="F21:F33" si="2">C21*E21</f>
        <v>3</v>
      </c>
      <c r="G21" s="2" t="s">
        <v>78</v>
      </c>
    </row>
    <row r="22" spans="1:16">
      <c r="A22" s="3" t="str">
        <f>INPUTS!A15</f>
        <v>Degree that the non-profit has a culture that is comfortable with the potential negative consequences of using GenAI solutions</v>
      </c>
      <c r="B22" s="3" t="str">
        <f>INPUTS!B15</f>
        <v>People</v>
      </c>
      <c r="C22" s="3">
        <f>INPUTS!D15</f>
        <v>1</v>
      </c>
      <c r="D22" s="3" t="str">
        <f>INPUTS!C15</f>
        <v>Not Applicable</v>
      </c>
      <c r="E22" s="3">
        <f t="shared" ref="E22:E30" si="3">VLOOKUP(D22, $A$3:$B$6,2,FALSE)</f>
        <v>0</v>
      </c>
      <c r="F22" s="6">
        <f t="shared" ref="F22:F30" si="4">C22*E22</f>
        <v>0</v>
      </c>
      <c r="G22" s="2" t="s">
        <v>78</v>
      </c>
    </row>
    <row r="23" spans="1:16">
      <c r="A23" s="3" t="str">
        <f>INPUTS!A16</f>
        <v>Degree that the non-profit is willing to experiment and learn from failed GenAI projects</v>
      </c>
      <c r="B23" s="3" t="str">
        <f>INPUTS!B16</f>
        <v>Process</v>
      </c>
      <c r="C23" s="3">
        <f>INPUTS!D16</f>
        <v>3</v>
      </c>
      <c r="D23" s="3" t="str">
        <f>INPUTS!C16</f>
        <v>Manageable</v>
      </c>
      <c r="E23" s="3">
        <f t="shared" si="3"/>
        <v>1</v>
      </c>
      <c r="F23" s="6">
        <f t="shared" si="4"/>
        <v>3</v>
      </c>
      <c r="G23" s="2" t="s">
        <v>78</v>
      </c>
    </row>
    <row r="24" spans="1:16">
      <c r="A24" s="3" t="str">
        <f>INPUTS!A17</f>
        <v>Degree that the non-profit is committed to change its services and work processes using GenAI applications</v>
      </c>
      <c r="B24" s="3" t="str">
        <f>INPUTS!B17</f>
        <v>Process</v>
      </c>
      <c r="C24" s="3">
        <f>INPUTS!D17</f>
        <v>4</v>
      </c>
      <c r="D24" s="3" t="str">
        <f>INPUTS!C17</f>
        <v>Important</v>
      </c>
      <c r="E24" s="3">
        <f t="shared" si="3"/>
        <v>1.5</v>
      </c>
      <c r="F24" s="6">
        <f t="shared" si="4"/>
        <v>6</v>
      </c>
      <c r="G24" s="2" t="s">
        <v>78</v>
      </c>
    </row>
    <row r="25" spans="1:16">
      <c r="A25" s="3" t="str">
        <f>INPUTS!A18</f>
        <v>Degree that the non-profit is comfortable with probabilistic decision making and inevitable hallucinations</v>
      </c>
      <c r="B25" s="3" t="str">
        <f>INPUTS!B18</f>
        <v>People</v>
      </c>
      <c r="C25" s="3">
        <f>INPUTS!D18</f>
        <v>1</v>
      </c>
      <c r="D25" s="3" t="str">
        <f>INPUTS!C18</f>
        <v>Critical</v>
      </c>
      <c r="E25" s="3">
        <f t="shared" si="3"/>
        <v>2</v>
      </c>
      <c r="F25" s="6">
        <f t="shared" si="4"/>
        <v>2</v>
      </c>
      <c r="G25" s="2" t="s">
        <v>78</v>
      </c>
    </row>
    <row r="26" spans="1:16">
      <c r="A26" s="3" t="str">
        <f>INPUTS!A19</f>
        <v>Degree that the non-profit has the appropriate risk-taking culture to implement GenAI solutions with unknown social or financial</v>
      </c>
      <c r="B26" s="3" t="str">
        <f>INPUTS!B19</f>
        <v>Financial</v>
      </c>
      <c r="C26" s="3">
        <f>INPUTS!D19</f>
        <v>4</v>
      </c>
      <c r="D26" s="3" t="str">
        <f>INPUTS!C19</f>
        <v>Manageable</v>
      </c>
      <c r="E26" s="3">
        <f t="shared" si="3"/>
        <v>1</v>
      </c>
      <c r="F26" s="6">
        <f t="shared" si="4"/>
        <v>4</v>
      </c>
      <c r="G26" s="2" t="s">
        <v>78</v>
      </c>
    </row>
    <row r="27" spans="1:16">
      <c r="A27" s="3" t="str">
        <f>INPUTS!A20</f>
        <v>Degree that the non-profit fears job losses or other structural changes due to the use of GenAI</v>
      </c>
      <c r="B27" s="3" t="str">
        <f>INPUTS!B20</f>
        <v>Process</v>
      </c>
      <c r="C27" s="3">
        <f>INPUTS!D20</f>
        <v>3</v>
      </c>
      <c r="D27" s="3" t="str">
        <f>INPUTS!C20</f>
        <v>Critical</v>
      </c>
      <c r="E27" s="3">
        <f t="shared" si="3"/>
        <v>2</v>
      </c>
      <c r="F27" s="6">
        <f t="shared" si="4"/>
        <v>6</v>
      </c>
      <c r="G27" s="2" t="s">
        <v>78</v>
      </c>
    </row>
    <row r="28" spans="1:16">
      <c r="A28" s="3" t="str">
        <f>INPUTS!A21</f>
        <v>Degree that the non-profit is comfortable implementing technologies that are in an ethical "gray" area</v>
      </c>
      <c r="B28" s="3" t="str">
        <f>INPUTS!B21</f>
        <v>Environment</v>
      </c>
      <c r="C28" s="3">
        <f>INPUTS!D21</f>
        <v>2</v>
      </c>
      <c r="D28" s="3" t="str">
        <f>INPUTS!C21</f>
        <v>Not Applicable</v>
      </c>
      <c r="E28" s="3">
        <f t="shared" si="3"/>
        <v>0</v>
      </c>
      <c r="F28" s="6">
        <f t="shared" si="4"/>
        <v>0</v>
      </c>
      <c r="G28" s="2" t="s">
        <v>78</v>
      </c>
    </row>
    <row r="29" spans="1:16">
      <c r="A29" s="3" t="str">
        <f>INPUTS!A22</f>
        <v>Degree that the non-profit has a culture that is comfortable with uncertainty</v>
      </c>
      <c r="B29" s="3" t="str">
        <f>INPUTS!B22</f>
        <v>People</v>
      </c>
      <c r="C29" s="3">
        <f>INPUTS!D22</f>
        <v>2</v>
      </c>
      <c r="D29" s="3" t="str">
        <f>INPUTS!C22</f>
        <v>Critical</v>
      </c>
      <c r="E29" s="3">
        <f t="shared" si="3"/>
        <v>2</v>
      </c>
      <c r="F29" s="6">
        <f t="shared" si="4"/>
        <v>4</v>
      </c>
      <c r="G29" s="2" t="s">
        <v>78</v>
      </c>
    </row>
    <row r="30" spans="1:16">
      <c r="A30" s="3" t="str">
        <f>INPUTS!A23</f>
        <v>Degree that the non-profit has a culture that is comfortable with changing roles and responsibilities</v>
      </c>
      <c r="B30" s="3" t="str">
        <f>INPUTS!B23</f>
        <v>Process</v>
      </c>
      <c r="C30" s="3">
        <f>INPUTS!D23</f>
        <v>4</v>
      </c>
      <c r="D30" s="3" t="str">
        <f>INPUTS!C23</f>
        <v>Critical</v>
      </c>
      <c r="E30" s="3">
        <f t="shared" si="3"/>
        <v>2</v>
      </c>
      <c r="F30" s="6">
        <f t="shared" si="4"/>
        <v>8</v>
      </c>
      <c r="G30" s="2" t="s">
        <v>78</v>
      </c>
    </row>
    <row r="31" spans="1:16">
      <c r="A31" s="3"/>
      <c r="B31" s="3"/>
      <c r="C31" s="3"/>
      <c r="D31" s="3"/>
      <c r="E31" s="3"/>
      <c r="F31" s="6"/>
    </row>
    <row r="32" spans="1:16">
      <c r="A32" s="3" t="str">
        <f>INPUTS!A24</f>
        <v>Technical Dimensions of GenAI Readiness</v>
      </c>
      <c r="B32" s="3"/>
      <c r="C32" s="3"/>
      <c r="D32" s="3"/>
      <c r="E32" s="3"/>
      <c r="F32" s="6"/>
    </row>
    <row r="33" spans="1:7">
      <c r="A33" s="3" t="str">
        <f>INPUTS!A25</f>
        <v>Degree that the non-profit is capable of complying with data storage regulations for different GenAI solutions</v>
      </c>
      <c r="B33" s="3" t="str">
        <f>INPUTS!B25</f>
        <v>Environment</v>
      </c>
      <c r="C33" s="3">
        <f>INPUTS!D25</f>
        <v>1</v>
      </c>
      <c r="D33" s="3" t="str">
        <f>INPUTS!C25</f>
        <v>Critical</v>
      </c>
      <c r="E33" s="3">
        <f>VLOOKUP(D33, $A$3:$B$6,2,FALSE)</f>
        <v>2</v>
      </c>
      <c r="F33" s="6">
        <f t="shared" si="2"/>
        <v>2</v>
      </c>
      <c r="G33" s="2" t="s">
        <v>79</v>
      </c>
    </row>
    <row r="34" spans="1:7">
      <c r="A34" s="3" t="str">
        <f>INPUTS!A26</f>
        <v>Degree that the non-profit can provide technical support for different GenAI solutions</v>
      </c>
      <c r="B34" s="3" t="str">
        <f>INPUTS!B26</f>
        <v>Process</v>
      </c>
      <c r="C34" s="3">
        <f>INPUTS!D26</f>
        <v>1</v>
      </c>
      <c r="D34" s="3" t="str">
        <f>INPUTS!C26</f>
        <v>Manageable</v>
      </c>
      <c r="E34" s="3">
        <f t="shared" ref="E34:E40" si="5">VLOOKUP(D34, $A$3:$B$6,2,FALSE)</f>
        <v>1</v>
      </c>
      <c r="F34" s="6">
        <f t="shared" ref="F34:F40" si="6">C34*E34</f>
        <v>1</v>
      </c>
      <c r="G34" s="2" t="s">
        <v>79</v>
      </c>
    </row>
    <row r="35" spans="1:7">
      <c r="A35" s="3" t="str">
        <f>INPUTS!A27</f>
        <v>Degree that the non-profit understands the privacy and security issues associated with using GenAI solutions</v>
      </c>
      <c r="B35" s="3" t="str">
        <f>INPUTS!B27</f>
        <v>Process</v>
      </c>
      <c r="C35" s="3">
        <f>INPUTS!D27</f>
        <v>2</v>
      </c>
      <c r="D35" s="3" t="str">
        <f>INPUTS!C27</f>
        <v>Important</v>
      </c>
      <c r="E35" s="3">
        <f t="shared" si="5"/>
        <v>1.5</v>
      </c>
      <c r="F35" s="6">
        <f t="shared" si="6"/>
        <v>3</v>
      </c>
      <c r="G35" s="2" t="s">
        <v>79</v>
      </c>
    </row>
    <row r="36" spans="1:7">
      <c r="A36" s="3" t="str">
        <f>INPUTS!A28</f>
        <v>Degree that the non-profit's GenAI technical partners associated with supporting GenAI solutions are stable and trustworthy</v>
      </c>
      <c r="B36" s="3" t="str">
        <f>INPUTS!B28</f>
        <v>Environment</v>
      </c>
      <c r="C36" s="3">
        <f>INPUTS!D28</f>
        <v>1</v>
      </c>
      <c r="D36" s="3" t="str">
        <f>INPUTS!C28</f>
        <v>Not Applicable</v>
      </c>
      <c r="E36" s="3">
        <f t="shared" si="5"/>
        <v>0</v>
      </c>
      <c r="F36" s="6">
        <f t="shared" si="6"/>
        <v>0</v>
      </c>
      <c r="G36" s="2" t="s">
        <v>79</v>
      </c>
    </row>
    <row r="37" spans="1:7">
      <c r="A37" s="3" t="str">
        <f>INPUTS!A29</f>
        <v>Degree that the non-profit has the budget to continually train its technology staff to support different GenAI solutions</v>
      </c>
      <c r="B37" s="3" t="str">
        <f>INPUTS!B29</f>
        <v>Financial</v>
      </c>
      <c r="C37" s="3">
        <f>INPUTS!D29</f>
        <v>2</v>
      </c>
      <c r="D37" s="3" t="str">
        <f>INPUTS!C29</f>
        <v>Important</v>
      </c>
      <c r="E37" s="3">
        <f t="shared" si="5"/>
        <v>1.5</v>
      </c>
      <c r="F37" s="6">
        <f t="shared" si="6"/>
        <v>3</v>
      </c>
      <c r="G37" s="2" t="s">
        <v>79</v>
      </c>
    </row>
    <row r="38" spans="1:7">
      <c r="A38" s="3" t="str">
        <f>INPUTS!A30</f>
        <v>Degree that the non-profit's technical staff has the knowledge, skills, and abilities to develop and/or maintain GenAI solutions</v>
      </c>
      <c r="B38" s="3" t="str">
        <f>INPUTS!B30</f>
        <v>People</v>
      </c>
      <c r="C38" s="3">
        <f>INPUTS!D30</f>
        <v>2</v>
      </c>
      <c r="D38" s="3" t="str">
        <f>INPUTS!C30</f>
        <v>Critical</v>
      </c>
      <c r="E38" s="3">
        <f t="shared" si="5"/>
        <v>2</v>
      </c>
      <c r="F38" s="6">
        <f t="shared" si="6"/>
        <v>4</v>
      </c>
      <c r="G38" s="2" t="s">
        <v>79</v>
      </c>
    </row>
    <row r="39" spans="1:7">
      <c r="A39" s="3" t="str">
        <f>INPUTS!A31</f>
        <v>Degree that the non-profit has legal support to protect its data and intellectual property due to GenAI solutions</v>
      </c>
      <c r="B39" s="3" t="str">
        <f>INPUTS!B31</f>
        <v>Process</v>
      </c>
      <c r="C39" s="3">
        <f>INPUTS!D31</f>
        <v>2</v>
      </c>
      <c r="D39" s="3" t="str">
        <f>INPUTS!C31</f>
        <v>Important</v>
      </c>
      <c r="E39" s="3">
        <f t="shared" si="5"/>
        <v>1.5</v>
      </c>
      <c r="F39" s="6">
        <f t="shared" si="6"/>
        <v>3</v>
      </c>
      <c r="G39" s="2" t="s">
        <v>79</v>
      </c>
    </row>
    <row r="40" spans="1:7">
      <c r="A40" s="3" t="str">
        <f>INPUTS!A32</f>
        <v>Degree that the non-profit understands and has the capabilities to manage internal and external data issues (e.g., compensating data sources, quality, access, security, privacy, &amp; cross-jurisdictional)</v>
      </c>
      <c r="B40" s="3" t="str">
        <f>INPUTS!B32</f>
        <v>People</v>
      </c>
      <c r="C40" s="3">
        <f>INPUTS!D32</f>
        <v>1</v>
      </c>
      <c r="D40" s="3" t="str">
        <f>INPUTS!C32</f>
        <v>Manageable</v>
      </c>
      <c r="E40" s="3">
        <f t="shared" si="5"/>
        <v>1</v>
      </c>
      <c r="F40" s="6">
        <f t="shared" si="6"/>
        <v>1</v>
      </c>
      <c r="G40" s="2" t="s">
        <v>79</v>
      </c>
    </row>
    <row r="41" spans="1:7">
      <c r="A41" s="3"/>
      <c r="B41" s="3"/>
      <c r="C41" s="3"/>
      <c r="D41" s="3"/>
      <c r="E41" s="3"/>
      <c r="F41" s="6"/>
    </row>
    <row r="42" spans="1:7">
      <c r="A42" s="3" t="str">
        <f>INPUTS!A33</f>
        <v>Operational Dimensions of GenAI Readiness</v>
      </c>
      <c r="B42" s="3"/>
      <c r="C42" s="3"/>
      <c r="D42" s="3"/>
      <c r="E42" s="3"/>
      <c r="F42" s="6"/>
    </row>
    <row r="43" spans="1:7">
      <c r="A43" s="3" t="str">
        <f>INPUTS!A34</f>
        <v>Degree that the non-profit's employees and managers trust underlying GenAI solutions</v>
      </c>
      <c r="B43" s="3" t="str">
        <f>INPUTS!B34</f>
        <v>People</v>
      </c>
      <c r="C43" s="3">
        <f>INPUTS!D34</f>
        <v>3</v>
      </c>
      <c r="D43" s="3" t="str">
        <f>INPUTS!C34</f>
        <v>Critical</v>
      </c>
      <c r="E43" s="3">
        <f t="shared" ref="E43:E50" si="7">VLOOKUP(D43, $A$3:$B$6,2,FALSE)</f>
        <v>2</v>
      </c>
      <c r="F43" s="6">
        <f t="shared" ref="F43" si="8">C43*E43</f>
        <v>6</v>
      </c>
      <c r="G43" s="2" t="s">
        <v>80</v>
      </c>
    </row>
    <row r="44" spans="1:7">
      <c r="A44" s="3" t="str">
        <f>INPUTS!A35</f>
        <v>Degree that the non-profit has identified GenAI specific use cases</v>
      </c>
      <c r="B44" s="3" t="str">
        <f>INPUTS!B35</f>
        <v>Process</v>
      </c>
      <c r="C44" s="3">
        <f>INPUTS!D35</f>
        <v>4</v>
      </c>
      <c r="D44" s="3" t="str">
        <f>INPUTS!C35</f>
        <v>Manageable</v>
      </c>
      <c r="E44" s="3">
        <f t="shared" si="7"/>
        <v>1</v>
      </c>
      <c r="F44" s="6">
        <f t="shared" ref="F44:F50" si="9">C44*E44</f>
        <v>4</v>
      </c>
      <c r="G44" s="2" t="s">
        <v>80</v>
      </c>
    </row>
    <row r="45" spans="1:7">
      <c r="A45" s="3" t="str">
        <f>INPUTS!A36</f>
        <v>Degree that the non-profit understands the different GenAI solutions that are available to improve daily operations</v>
      </c>
      <c r="B45" s="3" t="str">
        <f>INPUTS!B36</f>
        <v>People</v>
      </c>
      <c r="C45" s="3">
        <f>INPUTS!D36</f>
        <v>3</v>
      </c>
      <c r="D45" s="3" t="str">
        <f>INPUTS!C36</f>
        <v>Important</v>
      </c>
      <c r="E45" s="3">
        <f t="shared" si="7"/>
        <v>1.5</v>
      </c>
      <c r="F45" s="6">
        <f t="shared" si="9"/>
        <v>4.5</v>
      </c>
      <c r="G45" s="2" t="s">
        <v>80</v>
      </c>
    </row>
    <row r="46" spans="1:7">
      <c r="A46" s="3" t="str">
        <f>INPUTS!A37</f>
        <v>Degree that the non-profit has a process to choose different GenAI solutions including building in-house</v>
      </c>
      <c r="B46" s="3" t="str">
        <f>INPUTS!B37</f>
        <v>Process</v>
      </c>
      <c r="C46" s="3">
        <f>INPUTS!D37</f>
        <v>3</v>
      </c>
      <c r="D46" s="3" t="str">
        <f>INPUTS!C37</f>
        <v>Not Applicable</v>
      </c>
      <c r="E46" s="3">
        <f t="shared" si="7"/>
        <v>0</v>
      </c>
      <c r="F46" s="6">
        <f t="shared" si="9"/>
        <v>0</v>
      </c>
      <c r="G46" s="2" t="s">
        <v>80</v>
      </c>
    </row>
    <row r="47" spans="1:7">
      <c r="A47" s="3" t="str">
        <f>INPUTS!A38</f>
        <v>Degree that the non-profit has the budget for GenAI solutions</v>
      </c>
      <c r="B47" s="3" t="str">
        <f>INPUTS!B38</f>
        <v>Financial</v>
      </c>
      <c r="C47" s="3">
        <f>INPUTS!D38</f>
        <v>3</v>
      </c>
      <c r="D47" s="3" t="str">
        <f>INPUTS!C38</f>
        <v>Important</v>
      </c>
      <c r="E47" s="3">
        <f t="shared" si="7"/>
        <v>1.5</v>
      </c>
      <c r="F47" s="6">
        <f t="shared" si="9"/>
        <v>4.5</v>
      </c>
      <c r="G47" s="2" t="s">
        <v>80</v>
      </c>
    </row>
    <row r="48" spans="1:7">
      <c r="A48" s="3" t="str">
        <f>INPUTS!A39</f>
        <v>Degree that the non-profit is comfortable giving up agency in part or in full to a GenAI solution</v>
      </c>
      <c r="B48" s="3" t="str">
        <f>INPUTS!B39</f>
        <v>Process</v>
      </c>
      <c r="C48" s="3">
        <f>INPUTS!D39</f>
        <v>3</v>
      </c>
      <c r="D48" s="3" t="str">
        <f>INPUTS!C39</f>
        <v>Critical</v>
      </c>
      <c r="E48" s="3">
        <f t="shared" si="7"/>
        <v>2</v>
      </c>
      <c r="F48" s="6">
        <f t="shared" si="9"/>
        <v>6</v>
      </c>
      <c r="G48" s="2" t="s">
        <v>80</v>
      </c>
    </row>
    <row r="49" spans="1:7">
      <c r="A49" s="3" t="str">
        <f>INPUTS!A40</f>
        <v>Degree that the non-profit has a continuity of business plan should GenAI use need to be discontined</v>
      </c>
      <c r="B49" s="3" t="str">
        <f>INPUTS!B40</f>
        <v>Process</v>
      </c>
      <c r="C49" s="3">
        <f>INPUTS!D40</f>
        <v>3</v>
      </c>
      <c r="D49" s="3" t="str">
        <f>INPUTS!C40</f>
        <v>Important</v>
      </c>
      <c r="E49" s="3">
        <f t="shared" si="7"/>
        <v>1.5</v>
      </c>
      <c r="F49" s="6">
        <f t="shared" si="9"/>
        <v>4.5</v>
      </c>
      <c r="G49" s="2" t="s">
        <v>80</v>
      </c>
    </row>
    <row r="50" spans="1:7">
      <c r="A50" s="3" t="str">
        <f>INPUTS!A41</f>
        <v>Degree that the non-profit can modify its daily operations should an external GenAI factor happen</v>
      </c>
      <c r="B50" s="3" t="str">
        <f>INPUTS!B41</f>
        <v>Environment</v>
      </c>
      <c r="C50" s="3">
        <f>INPUTS!D41</f>
        <v>5</v>
      </c>
      <c r="D50" s="3" t="str">
        <f>INPUTS!C41</f>
        <v>Manageable</v>
      </c>
      <c r="E50" s="3">
        <f t="shared" si="7"/>
        <v>1</v>
      </c>
      <c r="F50" s="6">
        <f t="shared" si="9"/>
        <v>5</v>
      </c>
      <c r="G50" s="2" t="s">
        <v>80</v>
      </c>
    </row>
    <row r="51" spans="1:7">
      <c r="A51" s="3"/>
      <c r="B51" s="3"/>
      <c r="C51" s="3"/>
      <c r="D51" s="3"/>
      <c r="E51" s="3"/>
    </row>
    <row r="52" spans="1:7">
      <c r="A52" s="3" t="s">
        <v>77</v>
      </c>
      <c r="B52" s="3"/>
      <c r="C52" s="3"/>
      <c r="D52" s="3"/>
      <c r="E52" s="3"/>
    </row>
    <row r="53" spans="1:7">
      <c r="A53" s="3" t="s">
        <v>42</v>
      </c>
      <c r="B53" s="3">
        <f>IF(ISERROR(SUMIF($B$9:$B$18,A53, $F$9:$F$18)/SUMIF($B$9:$B$18,A53, $E$9:$E$18)), 0, SUMIF($B$9:$B$18,A53, $F$9:$F$18)/SUMIF($B$9:$B$18,A53, $E$9:$E$18))</f>
        <v>4</v>
      </c>
      <c r="C53" s="3" t="str">
        <f>CONCATENATE(A53, ": ", ROUND(B53,1))</f>
        <v>Environment: 4</v>
      </c>
      <c r="D53" s="3"/>
      <c r="E53" s="3"/>
      <c r="F53" s="6"/>
    </row>
    <row r="54" spans="1:7">
      <c r="A54" s="3" t="s">
        <v>4</v>
      </c>
      <c r="B54" s="3">
        <f t="shared" ref="B54:B56" si="10">IF(ISERROR(SUMIF($B$9:$B$18,A54, $F$9:$F$18)/SUMIF($B$9:$B$18,A54, $E$9:$E$18)), 0, SUMIF($B$9:$B$18,A54, $F$9:$F$18)/SUMIF($B$9:$B$18,A54, $E$9:$E$18))</f>
        <v>4</v>
      </c>
      <c r="C54" s="3" t="str">
        <f t="shared" ref="C54:C56" si="11">CONCATENATE(A54, ": ", ROUND(B54,1))</f>
        <v>Financial: 4</v>
      </c>
      <c r="D54" s="3"/>
      <c r="E54" s="3"/>
      <c r="F54" s="6"/>
    </row>
    <row r="55" spans="1:7">
      <c r="A55" s="3" t="s">
        <v>3</v>
      </c>
      <c r="B55" s="3">
        <f t="shared" si="10"/>
        <v>4</v>
      </c>
      <c r="C55" s="3" t="str">
        <f t="shared" si="11"/>
        <v>People: 4</v>
      </c>
      <c r="D55" s="3"/>
      <c r="E55" s="3"/>
    </row>
    <row r="56" spans="1:7">
      <c r="A56" s="3" t="s">
        <v>2</v>
      </c>
      <c r="B56" s="3">
        <f t="shared" si="10"/>
        <v>4.615384615384615</v>
      </c>
      <c r="C56" s="3" t="str">
        <f t="shared" si="11"/>
        <v>Process: 4.6</v>
      </c>
      <c r="D56" s="3"/>
      <c r="E56" s="3"/>
    </row>
    <row r="57" spans="1:7">
      <c r="B57" s="3"/>
      <c r="C57" s="3"/>
      <c r="D57" s="3"/>
      <c r="E57" s="3"/>
      <c r="F57" s="6"/>
    </row>
    <row r="58" spans="1:7">
      <c r="A58" s="3" t="s">
        <v>78</v>
      </c>
      <c r="B58" s="3"/>
      <c r="C58" s="3"/>
      <c r="D58" s="3"/>
      <c r="E58" s="3"/>
      <c r="F58" s="6"/>
    </row>
    <row r="59" spans="1:7">
      <c r="A59" s="3" t="s">
        <v>42</v>
      </c>
      <c r="B59" s="3">
        <f>IF(ISERROR(SUMIF($B$21:$B$30,A59, $F$21:$F$30)/SUMIF($B$21:$B$30,A59, $E$21:$E$30)), 0, SUMIF($B$21:$B$30,A59, $F$21:$F$30)/SUMIF($B$21:$B$30,A59, $E$21:$E$30))</f>
        <v>0</v>
      </c>
      <c r="C59" s="3" t="str">
        <f>CONCATENATE(A59, ": ", ROUND(B59,1))</f>
        <v>Environment: 0</v>
      </c>
      <c r="D59" s="3"/>
      <c r="E59" s="3"/>
      <c r="F59" s="6"/>
    </row>
    <row r="60" spans="1:7">
      <c r="A60" s="3" t="s">
        <v>4</v>
      </c>
      <c r="B60" s="3">
        <f t="shared" ref="B60:B62" si="12">IF(ISERROR(SUMIF($B$21:$B$30,A60, $F$21:$F$30)/SUMIF($B$21:$B$30,A60, $E$21:$E$30)), 0, SUMIF($B$21:$B$30,A60, $F$21:$F$30)/SUMIF($B$21:$B$30,A60, $E$21:$E$30))</f>
        <v>4</v>
      </c>
      <c r="C60" s="3" t="str">
        <f t="shared" ref="C60:C62" si="13">CONCATENATE(A60, ": ", ROUND(B60,1))</f>
        <v>Financial: 4</v>
      </c>
      <c r="D60" s="3"/>
      <c r="E60" s="3"/>
      <c r="F60" s="6"/>
    </row>
    <row r="61" spans="1:7">
      <c r="A61" s="3" t="s">
        <v>3</v>
      </c>
      <c r="B61" s="3">
        <f t="shared" si="12"/>
        <v>1.6363636363636365</v>
      </c>
      <c r="C61" s="3" t="str">
        <f t="shared" si="13"/>
        <v>People: 1.6</v>
      </c>
      <c r="D61" s="3"/>
      <c r="E61" s="3"/>
      <c r="F61" s="6"/>
    </row>
    <row r="62" spans="1:7">
      <c r="A62" s="3" t="s">
        <v>2</v>
      </c>
      <c r="B62" s="3">
        <f t="shared" si="12"/>
        <v>3.5384615384615383</v>
      </c>
      <c r="C62" s="3" t="str">
        <f t="shared" si="13"/>
        <v>Process: 3.5</v>
      </c>
      <c r="D62" s="3"/>
      <c r="E62" s="3"/>
    </row>
    <row r="63" spans="1:7">
      <c r="A63" s="3"/>
      <c r="B63" s="3"/>
      <c r="C63" s="3"/>
      <c r="D63" s="3"/>
      <c r="E63" s="3"/>
      <c r="F63" s="6"/>
    </row>
    <row r="64" spans="1:7">
      <c r="A64" s="3" t="s">
        <v>79</v>
      </c>
      <c r="B64" s="3"/>
      <c r="C64" s="3"/>
      <c r="D64" s="3"/>
      <c r="E64" s="3"/>
      <c r="F64" s="6"/>
    </row>
    <row r="65" spans="1:6">
      <c r="A65" s="3" t="s">
        <v>42</v>
      </c>
      <c r="B65" s="3">
        <f>IF(ISERROR(SUMIF($B$33:$B$40,A65, $F$33:$F$40)/SUMIF($B$33:$B$40,A65, $E$33:$E$40)), 0, SUMIF($B$33:$B$40,A65, $F$33:$F$40)/SUMIF($B$33:$B$40,A65, $E$33:$E$40))</f>
        <v>1</v>
      </c>
      <c r="C65" s="3" t="str">
        <f>CONCATENATE(A65, ": ", ROUND(B65,1))</f>
        <v>Environment: 1</v>
      </c>
      <c r="D65" s="3"/>
      <c r="E65" s="3"/>
      <c r="F65" s="6"/>
    </row>
    <row r="66" spans="1:6">
      <c r="A66" s="3" t="s">
        <v>4</v>
      </c>
      <c r="B66" s="3">
        <f t="shared" ref="B66:B68" si="14">IF(ISERROR(SUMIF($B$33:$B$40,A66, $F$33:$F$40)/SUMIF($B$33:$B$40,A66, $E$33:$E$40)), 0, SUMIF($B$33:$B$40,A66, $F$33:$F$40)/SUMIF($B$33:$B$40,A66, $E$33:$E$40))</f>
        <v>2</v>
      </c>
      <c r="C66" s="3" t="str">
        <f t="shared" ref="C66:C68" si="15">CONCATENATE(A66, ": ", ROUND(B66,1))</f>
        <v>Financial: 2</v>
      </c>
      <c r="D66" s="3"/>
      <c r="E66" s="3"/>
      <c r="F66" s="6"/>
    </row>
    <row r="67" spans="1:6">
      <c r="A67" s="3" t="s">
        <v>3</v>
      </c>
      <c r="B67" s="3">
        <f t="shared" si="14"/>
        <v>1.6666666666666667</v>
      </c>
      <c r="C67" s="3" t="str">
        <f t="shared" si="15"/>
        <v>People: 1.7</v>
      </c>
      <c r="D67" s="3"/>
      <c r="E67" s="3"/>
      <c r="F67" s="6"/>
    </row>
    <row r="68" spans="1:6">
      <c r="A68" s="3" t="s">
        <v>2</v>
      </c>
      <c r="B68" s="3">
        <f t="shared" si="14"/>
        <v>1.75</v>
      </c>
      <c r="C68" s="3" t="str">
        <f t="shared" si="15"/>
        <v>Process: 1.8</v>
      </c>
      <c r="D68" s="3"/>
      <c r="E68" s="3"/>
      <c r="F68" s="6"/>
    </row>
    <row r="69" spans="1:6">
      <c r="A69" s="3"/>
      <c r="B69" s="3"/>
      <c r="C69" s="3"/>
      <c r="D69" s="3"/>
      <c r="E69" s="3"/>
      <c r="F69" s="6"/>
    </row>
    <row r="70" spans="1:6">
      <c r="A70" s="3" t="s">
        <v>80</v>
      </c>
      <c r="B70" s="3"/>
      <c r="C70" s="3"/>
      <c r="D70" s="3"/>
      <c r="E70" s="3"/>
      <c r="F70" s="6"/>
    </row>
    <row r="71" spans="1:6">
      <c r="A71" s="3" t="s">
        <v>42</v>
      </c>
      <c r="B71" s="3">
        <f>IF(ISERROR(SUMIF($B$43:$B$50,A71, $F$43:$F$50)/SUMIF($B$43:$B$50,A71, $E$43:$E$50)), 0, SUMIF($B$43:$B$50,A71, $F$43:$F$50)/SUMIF($B$43:$B$50,A71, $E$43:$E$50))</f>
        <v>5</v>
      </c>
      <c r="C71" s="3" t="str">
        <f>CONCATENATE(A71, ": ", ROUND(B71,1))</f>
        <v>Environment: 5</v>
      </c>
      <c r="D71" s="3"/>
      <c r="E71" s="3"/>
      <c r="F71" s="6"/>
    </row>
    <row r="72" spans="1:6">
      <c r="A72" s="3" t="s">
        <v>4</v>
      </c>
      <c r="B72" s="3">
        <f t="shared" ref="B72:B74" si="16">IF(ISERROR(SUMIF($B$43:$B$50,A72, $F$43:$F$50)/SUMIF($B$43:$B$50,A72, $E$43:$E$50)), 0, SUMIF($B$43:$B$50,A72, $F$43:$F$50)/SUMIF($B$43:$B$50,A72, $E$43:$E$50))</f>
        <v>3</v>
      </c>
      <c r="C72" s="3" t="str">
        <f t="shared" ref="C72:C74" si="17">CONCATENATE(A72, ": ", ROUND(B72,1))</f>
        <v>Financial: 3</v>
      </c>
      <c r="D72" s="3"/>
      <c r="E72" s="3"/>
      <c r="F72" s="6"/>
    </row>
    <row r="73" spans="1:6">
      <c r="A73" s="3" t="s">
        <v>3</v>
      </c>
      <c r="B73" s="3">
        <f t="shared" si="16"/>
        <v>3</v>
      </c>
      <c r="C73" s="3" t="str">
        <f t="shared" si="17"/>
        <v>People: 3</v>
      </c>
      <c r="D73" s="3"/>
      <c r="E73" s="3"/>
      <c r="F73" s="6"/>
    </row>
    <row r="74" spans="1:6">
      <c r="A74" s="3" t="s">
        <v>2</v>
      </c>
      <c r="B74" s="3">
        <f t="shared" si="16"/>
        <v>3.2222222222222223</v>
      </c>
      <c r="C74" s="3" t="str">
        <f t="shared" si="17"/>
        <v>Process: 3.2</v>
      </c>
      <c r="D74" s="3"/>
      <c r="E74" s="3"/>
      <c r="F74" s="6"/>
    </row>
    <row r="75" spans="1:6">
      <c r="A75" s="3"/>
      <c r="B75" s="3"/>
      <c r="C75" s="3"/>
      <c r="D75" s="3"/>
      <c r="E75" s="3"/>
      <c r="F75" s="6"/>
    </row>
    <row r="76" spans="1:6">
      <c r="A76" s="3"/>
      <c r="B76" s="3"/>
      <c r="C76" s="3"/>
      <c r="D76" s="3"/>
      <c r="E76" s="3"/>
      <c r="F76" s="6"/>
    </row>
    <row r="77" spans="1:6">
      <c r="A77" s="3" t="s">
        <v>82</v>
      </c>
      <c r="B77" s="3">
        <f>AVERAGE(B53:B56)</f>
        <v>4.1538461538461533</v>
      </c>
      <c r="C77" s="3" t="str">
        <f>CONCATENATE(A77, ": ", ROUND(B77,2))</f>
        <v>Overall Strategic Readiness Score: 4.15</v>
      </c>
      <c r="D77" s="3"/>
      <c r="E77" s="3"/>
      <c r="F77" s="6"/>
    </row>
    <row r="78" spans="1:6">
      <c r="A78" s="3" t="s">
        <v>83</v>
      </c>
      <c r="B78" s="3">
        <f>AVERAGE(B59:B62)</f>
        <v>2.2937062937062938</v>
      </c>
      <c r="C78" s="3" t="str">
        <f>CONCATENATE(A78, ": ", ROUND(B78,2))</f>
        <v>Overall Cultural Readiness Score: 2.29</v>
      </c>
      <c r="D78" s="3"/>
      <c r="E78" s="3"/>
      <c r="F78" s="6"/>
    </row>
    <row r="79" spans="1:6">
      <c r="A79" s="3" t="s">
        <v>84</v>
      </c>
      <c r="B79" s="3">
        <f>AVERAGE(B65:B68)</f>
        <v>1.6041666666666667</v>
      </c>
      <c r="C79" s="3" t="str">
        <f t="shared" ref="C79:C82" si="18">CONCATENATE(A79, ": ", ROUND(B79,2))</f>
        <v>Overall Technical Readiness Score: 1.6</v>
      </c>
      <c r="D79" s="3"/>
      <c r="E79" s="3"/>
      <c r="F79" s="6"/>
    </row>
    <row r="80" spans="1:6">
      <c r="A80" s="3" t="s">
        <v>85</v>
      </c>
      <c r="B80" s="3">
        <f>AVERAGE(B71:B74)</f>
        <v>3.5555555555555554</v>
      </c>
      <c r="C80" s="3" t="str">
        <f t="shared" si="18"/>
        <v>Overall Operational Readiness Score: 3.56</v>
      </c>
      <c r="D80" s="3"/>
      <c r="E80" s="3"/>
      <c r="F80" s="6"/>
    </row>
    <row r="81" spans="1:6">
      <c r="A81" s="3"/>
      <c r="B81" s="3"/>
      <c r="C81" s="3"/>
      <c r="D81" s="3"/>
      <c r="E81" s="3"/>
      <c r="F81" s="6"/>
    </row>
    <row r="82" spans="1:6">
      <c r="A82" s="11" t="s">
        <v>81</v>
      </c>
      <c r="B82" s="4">
        <f>AVERAGE(B77:B80)</f>
        <v>2.901818667443667</v>
      </c>
      <c r="C82" s="3" t="str">
        <f t="shared" si="18"/>
        <v>Overall GenAI Readiness Score: 2.9</v>
      </c>
      <c r="E82" s="5"/>
      <c r="F82" s="6"/>
    </row>
    <row r="83" spans="1:6">
      <c r="A83" s="3"/>
      <c r="B83" s="3"/>
      <c r="C83" s="3"/>
      <c r="D83" s="3"/>
      <c r="E83" s="5"/>
      <c r="F83" s="6"/>
    </row>
    <row r="84" spans="1:6">
      <c r="A84" s="3"/>
      <c r="B84" s="3"/>
      <c r="C84" s="3"/>
      <c r="D84" s="3"/>
      <c r="E84" s="5"/>
      <c r="F84" s="6"/>
    </row>
    <row r="85" spans="1:6">
      <c r="A85" s="3"/>
      <c r="B85" s="3"/>
      <c r="C85" s="3"/>
      <c r="D85" s="3"/>
      <c r="E85" s="5"/>
      <c r="F85" s="6"/>
    </row>
    <row r="86" spans="1:6">
      <c r="A86" s="11"/>
      <c r="B86" s="4"/>
      <c r="E86" s="5"/>
      <c r="F86" s="6"/>
    </row>
    <row r="87" spans="1:6">
      <c r="A87" s="3"/>
      <c r="B87" s="3"/>
      <c r="C87" s="3"/>
      <c r="D87" s="3"/>
      <c r="E87" s="5"/>
      <c r="F87" s="6"/>
    </row>
    <row r="88" spans="1:6">
      <c r="A88" s="3"/>
      <c r="B88" s="3"/>
      <c r="C88" s="3"/>
      <c r="D88" s="3"/>
      <c r="E88" s="5"/>
      <c r="F88" s="6"/>
    </row>
    <row r="89" spans="1:6">
      <c r="A89" s="3"/>
      <c r="B89" s="3"/>
      <c r="C89" s="3"/>
      <c r="D89" s="3"/>
      <c r="E89" s="5"/>
      <c r="F89" s="6"/>
    </row>
    <row r="90" spans="1:6">
      <c r="A90" s="3"/>
      <c r="B90" s="3"/>
      <c r="C90" s="3"/>
      <c r="D90" s="3"/>
      <c r="E90" s="5"/>
      <c r="F90" s="6"/>
    </row>
    <row r="91" spans="1:6">
      <c r="A91" s="3"/>
      <c r="B91" s="3"/>
      <c r="C91" s="3"/>
      <c r="D91" s="3"/>
      <c r="E91" s="5"/>
      <c r="F91" s="6"/>
    </row>
    <row r="92" spans="1:6">
      <c r="A92" s="11"/>
      <c r="B92" s="4"/>
      <c r="E92" s="5"/>
      <c r="F92" s="6"/>
    </row>
    <row r="93" spans="1:6">
      <c r="A93" s="3"/>
      <c r="B93" s="3"/>
      <c r="C93" s="3"/>
      <c r="D93" s="3"/>
      <c r="E93" s="5"/>
      <c r="F93" s="6"/>
    </row>
    <row r="94" spans="1:6">
      <c r="A94" s="3"/>
      <c r="B94" s="3"/>
      <c r="C94" s="3"/>
      <c r="D94" s="3"/>
      <c r="E94" s="5"/>
      <c r="F94" s="6"/>
    </row>
    <row r="95" spans="1:6">
      <c r="A95" s="3"/>
      <c r="B95" s="3"/>
      <c r="C95" s="3"/>
      <c r="D95" s="3"/>
      <c r="E95" s="5"/>
      <c r="F95" s="6"/>
    </row>
    <row r="96" spans="1:6">
      <c r="A96" s="11"/>
      <c r="B96" s="4"/>
      <c r="E96" s="5"/>
      <c r="F96" s="6"/>
    </row>
    <row r="110" spans="2:2">
      <c r="B110" s="4"/>
    </row>
    <row r="124" spans="2:3">
      <c r="B124" s="4"/>
    </row>
    <row r="127" spans="2:3">
      <c r="C127" s="12"/>
    </row>
  </sheetData>
  <sortState xmlns:xlrd2="http://schemas.microsoft.com/office/spreadsheetml/2017/richdata2" ref="A65:A69">
    <sortCondition ref="A65:A69"/>
  </sortState>
  <dataValidations count="1">
    <dataValidation allowBlank="1" showInputMessage="1" sqref="B124 B6:B7 B110 B82 B86 B92 B96" xr:uid="{21683C9F-D203-446A-95C5-1DA6C2873F57}"/>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vt:lpstr>
      <vt:lpstr>INPUTS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Mattson, Tom</dc:creator>
  <cp:lastModifiedBy>Mattson, Tom</cp:lastModifiedBy>
  <dcterms:created xsi:type="dcterms:W3CDTF">2024-06-21T15:04:15Z</dcterms:created>
  <dcterms:modified xsi:type="dcterms:W3CDTF">2026-01-01T23:17:03Z</dcterms:modified>
</cp:coreProperties>
</file>